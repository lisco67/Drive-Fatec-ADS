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KKROBERTI\Downloads\"/>
    </mc:Choice>
  </mc:AlternateContent>
  <xr:revisionPtr revIDLastSave="0" documentId="13_ncr:1_{58D4FD62-DD00-49C8-8F13-D87BBD54998B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Exercício_1" sheetId="5" r:id="rId1"/>
    <sheet name="Exercício_2" sheetId="1" r:id="rId2"/>
    <sheet name="Exercício_3" sheetId="2" r:id="rId3"/>
    <sheet name="Exercício_4" sheetId="3" r:id="rId4"/>
    <sheet name="Exercício_5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9" i="4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" i="3"/>
  <c r="J3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" i="3"/>
  <c r="B3" i="3" s="1"/>
  <c r="D4" i="3" s="1"/>
  <c r="D3" i="2"/>
  <c r="B3" i="2" s="1"/>
  <c r="D4" i="2" s="1"/>
  <c r="E27" i="1"/>
  <c r="E28" i="1"/>
  <c r="E29" i="1"/>
  <c r="E30" i="1"/>
  <c r="E31" i="1"/>
  <c r="E32" i="1"/>
  <c r="D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3" i="5"/>
  <c r="D3" i="5"/>
  <c r="C3" i="4" l="1"/>
  <c r="E4" i="3"/>
  <c r="K39" i="3"/>
  <c r="I3" i="3"/>
  <c r="H3" i="3" s="1"/>
  <c r="J4" i="3" s="1"/>
  <c r="I4" i="3" s="1"/>
  <c r="B4" i="2"/>
  <c r="E27" i="5"/>
  <c r="C3" i="5"/>
  <c r="B3" i="5" s="1"/>
  <c r="B3" i="4" l="1"/>
  <c r="D4" i="4" s="1"/>
  <c r="D5" i="2"/>
  <c r="C6" i="2"/>
  <c r="C9" i="2"/>
  <c r="C7" i="2"/>
  <c r="C13" i="2"/>
  <c r="C8" i="2"/>
  <c r="C10" i="2"/>
  <c r="C11" i="2"/>
  <c r="C12" i="2"/>
  <c r="C14" i="2"/>
  <c r="C5" i="2"/>
  <c r="E5" i="2" s="1"/>
  <c r="B3" i="1"/>
  <c r="D4" i="5"/>
  <c r="C4" i="5" s="1"/>
  <c r="B4" i="5" s="1"/>
  <c r="D5" i="5" s="1"/>
  <c r="C5" i="5" s="1"/>
  <c r="B5" i="5" s="1"/>
  <c r="E3" i="3" l="1"/>
  <c r="C39" i="3"/>
  <c r="B5" i="2"/>
  <c r="D6" i="2"/>
  <c r="E6" i="2" s="1"/>
  <c r="B6" i="2"/>
  <c r="D6" i="5"/>
  <c r="C6" i="5" s="1"/>
  <c r="B6" i="5" s="1"/>
  <c r="C4" i="4" l="1"/>
  <c r="B4" i="3"/>
  <c r="D5" i="3" s="1"/>
  <c r="B7" i="2"/>
  <c r="D7" i="2"/>
  <c r="E7" i="2" s="1"/>
  <c r="D7" i="5"/>
  <c r="C7" i="5" s="1"/>
  <c r="B7" i="5" s="1"/>
  <c r="B4" i="4" l="1"/>
  <c r="D5" i="4" s="1"/>
  <c r="E5" i="3"/>
  <c r="H4" i="3"/>
  <c r="J5" i="3" s="1"/>
  <c r="I5" i="3" s="1"/>
  <c r="B5" i="3"/>
  <c r="D6" i="3" s="1"/>
  <c r="E6" i="3" s="1"/>
  <c r="D8" i="2"/>
  <c r="E8" i="2" s="1"/>
  <c r="B8" i="2"/>
  <c r="B4" i="1"/>
  <c r="D8" i="5"/>
  <c r="C8" i="5" s="1"/>
  <c r="B8" i="5" s="1"/>
  <c r="B6" i="3" l="1"/>
  <c r="D7" i="3" s="1"/>
  <c r="E7" i="3" s="1"/>
  <c r="D9" i="2"/>
  <c r="E9" i="2" s="1"/>
  <c r="B9" i="2"/>
  <c r="D9" i="5"/>
  <c r="C9" i="5" s="1"/>
  <c r="B9" i="5" s="1"/>
  <c r="C5" i="4" l="1"/>
  <c r="B7" i="3"/>
  <c r="D8" i="3" s="1"/>
  <c r="D10" i="2"/>
  <c r="E10" i="2" s="1"/>
  <c r="B10" i="2"/>
  <c r="D10" i="5"/>
  <c r="C10" i="5" s="1"/>
  <c r="B10" i="5" s="1"/>
  <c r="B5" i="4" l="1"/>
  <c r="D6" i="4" s="1"/>
  <c r="E8" i="3"/>
  <c r="H5" i="3"/>
  <c r="J6" i="3" s="1"/>
  <c r="I6" i="3" s="1"/>
  <c r="B8" i="3"/>
  <c r="D9" i="3" s="1"/>
  <c r="E9" i="3" s="1"/>
  <c r="D11" i="2"/>
  <c r="E11" i="2" s="1"/>
  <c r="B11" i="2"/>
  <c r="B5" i="1"/>
  <c r="D11" i="5"/>
  <c r="C11" i="5" s="1"/>
  <c r="B11" i="5" s="1"/>
  <c r="B9" i="3" l="1"/>
  <c r="D10" i="3" s="1"/>
  <c r="E10" i="3" s="1"/>
  <c r="D12" i="2"/>
  <c r="E12" i="2" s="1"/>
  <c r="B12" i="2"/>
  <c r="D12" i="5"/>
  <c r="C12" i="5" s="1"/>
  <c r="B12" i="5" s="1"/>
  <c r="C6" i="4" l="1"/>
  <c r="B10" i="3"/>
  <c r="D11" i="3" s="1"/>
  <c r="E11" i="3" s="1"/>
  <c r="D13" i="2"/>
  <c r="E13" i="2" s="1"/>
  <c r="B13" i="2"/>
  <c r="D14" i="2" s="1"/>
  <c r="E14" i="2" s="1"/>
  <c r="D13" i="5"/>
  <c r="C13" i="5" s="1"/>
  <c r="B13" i="5" s="1"/>
  <c r="B6" i="4" l="1"/>
  <c r="D7" i="4" s="1"/>
  <c r="H6" i="3"/>
  <c r="J7" i="3" s="1"/>
  <c r="I7" i="3" s="1"/>
  <c r="B11" i="3"/>
  <c r="D12" i="3" s="1"/>
  <c r="E12" i="3" s="1"/>
  <c r="D15" i="2"/>
  <c r="B14" i="2"/>
  <c r="B6" i="1"/>
  <c r="D14" i="5"/>
  <c r="C14" i="5" s="1"/>
  <c r="B14" i="5" s="1"/>
  <c r="C7" i="4" l="1"/>
  <c r="B7" i="4" s="1"/>
  <c r="D8" i="4" s="1"/>
  <c r="B12" i="3"/>
  <c r="E15" i="2"/>
  <c r="B7" i="1"/>
  <c r="D15" i="5"/>
  <c r="C15" i="5" s="1"/>
  <c r="B15" i="5" s="1"/>
  <c r="C8" i="4" l="1"/>
  <c r="B8" i="4" s="1"/>
  <c r="B13" i="3"/>
  <c r="D13" i="3"/>
  <c r="E13" i="3" s="1"/>
  <c r="H7" i="3"/>
  <c r="J8" i="3" s="1"/>
  <c r="I8" i="3" s="1"/>
  <c r="B8" i="1"/>
  <c r="D9" i="1" s="1"/>
  <c r="D16" i="5"/>
  <c r="C16" i="5" s="1"/>
  <c r="B16" i="5" s="1"/>
  <c r="B14" i="3" l="1"/>
  <c r="D14" i="3"/>
  <c r="E14" i="3" s="1"/>
  <c r="C9" i="1"/>
  <c r="B9" i="1"/>
  <c r="D10" i="1" s="1"/>
  <c r="D17" i="5"/>
  <c r="C17" i="5" s="1"/>
  <c r="B17" i="5" s="1"/>
  <c r="H8" i="3" l="1"/>
  <c r="J9" i="3" s="1"/>
  <c r="I9" i="3" s="1"/>
  <c r="B15" i="3"/>
  <c r="D15" i="3"/>
  <c r="E15" i="3" s="1"/>
  <c r="C10" i="1"/>
  <c r="B10" i="1" s="1"/>
  <c r="D11" i="1" s="1"/>
  <c r="D18" i="5"/>
  <c r="C18" i="5" s="1"/>
  <c r="B18" i="5" s="1"/>
  <c r="H9" i="3" l="1"/>
  <c r="J10" i="3" s="1"/>
  <c r="I10" i="3" s="1"/>
  <c r="B16" i="3"/>
  <c r="D16" i="3"/>
  <c r="E16" i="3" s="1"/>
  <c r="C11" i="1"/>
  <c r="B11" i="1" s="1"/>
  <c r="D12" i="1" s="1"/>
  <c r="D19" i="5"/>
  <c r="C19" i="5" s="1"/>
  <c r="B19" i="5" s="1"/>
  <c r="H10" i="3" l="1"/>
  <c r="J11" i="3" s="1"/>
  <c r="I11" i="3" s="1"/>
  <c r="B17" i="3"/>
  <c r="D17" i="3"/>
  <c r="E17" i="3" s="1"/>
  <c r="C12" i="1"/>
  <c r="B12" i="1" s="1"/>
  <c r="D13" i="1" s="1"/>
  <c r="D20" i="5"/>
  <c r="C20" i="5" s="1"/>
  <c r="B20" i="5" s="1"/>
  <c r="H11" i="3" l="1"/>
  <c r="J12" i="3" s="1"/>
  <c r="I12" i="3" s="1"/>
  <c r="B18" i="3"/>
  <c r="D18" i="3"/>
  <c r="E18" i="3" s="1"/>
  <c r="C13" i="1"/>
  <c r="B13" i="1" s="1"/>
  <c r="D14" i="1" s="1"/>
  <c r="D21" i="5"/>
  <c r="C21" i="5" s="1"/>
  <c r="B21" i="5" s="1"/>
  <c r="H12" i="3" l="1"/>
  <c r="J13" i="3" s="1"/>
  <c r="I13" i="3" s="1"/>
  <c r="B19" i="3"/>
  <c r="D19" i="3"/>
  <c r="E19" i="3" s="1"/>
  <c r="C14" i="1"/>
  <c r="B14" i="1" s="1"/>
  <c r="D15" i="1" s="1"/>
  <c r="D22" i="5"/>
  <c r="C22" i="5" s="1"/>
  <c r="B22" i="5" s="1"/>
  <c r="H13" i="3" l="1"/>
  <c r="J14" i="3" s="1"/>
  <c r="I14" i="3" s="1"/>
  <c r="D20" i="3"/>
  <c r="E20" i="3" s="1"/>
  <c r="B20" i="3"/>
  <c r="C15" i="1"/>
  <c r="B15" i="1"/>
  <c r="D16" i="1" s="1"/>
  <c r="D23" i="5"/>
  <c r="C23" i="5" s="1"/>
  <c r="B23" i="5" s="1"/>
  <c r="H14" i="3" l="1"/>
  <c r="J15" i="3" s="1"/>
  <c r="I15" i="3" s="1"/>
  <c r="B21" i="3"/>
  <c r="D21" i="3"/>
  <c r="E21" i="3" s="1"/>
  <c r="C16" i="1"/>
  <c r="B16" i="1" s="1"/>
  <c r="D17" i="1" s="1"/>
  <c r="D24" i="5"/>
  <c r="C24" i="5" s="1"/>
  <c r="B24" i="5" s="1"/>
  <c r="H15" i="3" l="1"/>
  <c r="J16" i="3" s="1"/>
  <c r="I16" i="3" s="1"/>
  <c r="B22" i="3"/>
  <c r="D22" i="3"/>
  <c r="E22" i="3" s="1"/>
  <c r="C17" i="1"/>
  <c r="B17" i="1" s="1"/>
  <c r="D18" i="1" s="1"/>
  <c r="D25" i="5"/>
  <c r="H16" i="3" l="1"/>
  <c r="J17" i="3" s="1"/>
  <c r="I17" i="3" s="1"/>
  <c r="B23" i="3"/>
  <c r="D23" i="3"/>
  <c r="E23" i="3" s="1"/>
  <c r="C18" i="1"/>
  <c r="B18" i="1" s="1"/>
  <c r="D19" i="1" s="1"/>
  <c r="C25" i="5"/>
  <c r="B25" i="5" s="1"/>
  <c r="D26" i="5"/>
  <c r="C26" i="5" s="1"/>
  <c r="C27" i="5" s="1"/>
  <c r="H17" i="3" l="1"/>
  <c r="J18" i="3" s="1"/>
  <c r="I18" i="3" s="1"/>
  <c r="B24" i="3"/>
  <c r="D24" i="3"/>
  <c r="E24" i="3" s="1"/>
  <c r="C19" i="1"/>
  <c r="B19" i="1" s="1"/>
  <c r="D20" i="1" s="1"/>
  <c r="D27" i="5"/>
  <c r="B26" i="5"/>
  <c r="H18" i="3" l="1"/>
  <c r="J19" i="3" s="1"/>
  <c r="I19" i="3" s="1"/>
  <c r="B25" i="3"/>
  <c r="D25" i="3"/>
  <c r="E25" i="3" s="1"/>
  <c r="C20" i="1"/>
  <c r="B20" i="1"/>
  <c r="D21" i="1" s="1"/>
  <c r="H19" i="3" l="1"/>
  <c r="J20" i="3" s="1"/>
  <c r="I20" i="3" s="1"/>
  <c r="B26" i="3"/>
  <c r="D26" i="3"/>
  <c r="E26" i="3" s="1"/>
  <c r="C21" i="1"/>
  <c r="B21" i="1" s="1"/>
  <c r="D22" i="1" s="1"/>
  <c r="H20" i="3" l="1"/>
  <c r="J21" i="3" s="1"/>
  <c r="I21" i="3" s="1"/>
  <c r="B27" i="3"/>
  <c r="D27" i="3"/>
  <c r="E27" i="3" s="1"/>
  <c r="C22" i="1"/>
  <c r="B22" i="1" s="1"/>
  <c r="D23" i="1" s="1"/>
  <c r="H21" i="3" l="1"/>
  <c r="J22" i="3" s="1"/>
  <c r="I22" i="3" s="1"/>
  <c r="B28" i="3"/>
  <c r="D28" i="3"/>
  <c r="E28" i="3" s="1"/>
  <c r="C23" i="1"/>
  <c r="B23" i="1" s="1"/>
  <c r="D24" i="1" s="1"/>
  <c r="H22" i="3" l="1"/>
  <c r="J23" i="3" s="1"/>
  <c r="I23" i="3" s="1"/>
  <c r="B29" i="3"/>
  <c r="D29" i="3"/>
  <c r="E29" i="3" s="1"/>
  <c r="C24" i="1"/>
  <c r="B24" i="1" s="1"/>
  <c r="D25" i="1" s="1"/>
  <c r="H23" i="3" l="1"/>
  <c r="J24" i="3" s="1"/>
  <c r="I24" i="3" s="1"/>
  <c r="B30" i="3"/>
  <c r="D30" i="3"/>
  <c r="E30" i="3" s="1"/>
  <c r="C25" i="1"/>
  <c r="B25" i="1" s="1"/>
  <c r="D26" i="1" s="1"/>
  <c r="H24" i="3" l="1"/>
  <c r="J25" i="3" s="1"/>
  <c r="I25" i="3" s="1"/>
  <c r="D31" i="3"/>
  <c r="E31" i="3" s="1"/>
  <c r="B31" i="3"/>
  <c r="C26" i="1"/>
  <c r="D9" i="4" l="1"/>
  <c r="H25" i="3"/>
  <c r="J26" i="3" s="1"/>
  <c r="I26" i="3" s="1"/>
  <c r="D32" i="3"/>
  <c r="E32" i="3" s="1"/>
  <c r="B32" i="3"/>
  <c r="B26" i="1"/>
  <c r="C9" i="4" l="1"/>
  <c r="D33" i="3"/>
  <c r="E33" i="3" s="1"/>
  <c r="B33" i="3"/>
  <c r="C15" i="2"/>
  <c r="D27" i="1"/>
  <c r="D34" i="3" l="1"/>
  <c r="E34" i="3" s="1"/>
  <c r="B34" i="3"/>
  <c r="H26" i="3"/>
  <c r="J27" i="3" s="1"/>
  <c r="I27" i="3" s="1"/>
  <c r="C27" i="1"/>
  <c r="B35" i="3" l="1"/>
  <c r="D35" i="3"/>
  <c r="E35" i="3" s="1"/>
  <c r="B27" i="1"/>
  <c r="D36" i="3" l="1"/>
  <c r="E36" i="3" s="1"/>
  <c r="B36" i="3"/>
  <c r="D28" i="1"/>
  <c r="H27" i="3" l="1"/>
  <c r="J28" i="3" s="1"/>
  <c r="I28" i="3" s="1"/>
  <c r="B37" i="3"/>
  <c r="D37" i="3"/>
  <c r="E37" i="3" s="1"/>
  <c r="C28" i="1"/>
  <c r="D38" i="3" l="1"/>
  <c r="B38" i="3"/>
  <c r="B28" i="1"/>
  <c r="E38" i="3" l="1"/>
  <c r="E39" i="3" s="1"/>
  <c r="D39" i="3"/>
  <c r="D29" i="1"/>
  <c r="H28" i="3" l="1"/>
  <c r="J29" i="3" s="1"/>
  <c r="I29" i="3" s="1"/>
  <c r="C29" i="1"/>
  <c r="B29" i="1" l="1"/>
  <c r="D30" i="1" l="1"/>
  <c r="H29" i="3" l="1"/>
  <c r="J30" i="3" s="1"/>
  <c r="I30" i="3" s="1"/>
  <c r="C30" i="1"/>
  <c r="B30" i="1" l="1"/>
  <c r="D31" i="1" l="1"/>
  <c r="H30" i="3" l="1"/>
  <c r="J31" i="3" s="1"/>
  <c r="I31" i="3" s="1"/>
  <c r="C31" i="1"/>
  <c r="B31" i="1" l="1"/>
  <c r="D32" i="1" l="1"/>
  <c r="H31" i="3" l="1"/>
  <c r="J32" i="3" s="1"/>
  <c r="I32" i="3" s="1"/>
  <c r="C32" i="1"/>
  <c r="D33" i="1"/>
  <c r="C33" i="1" l="1"/>
  <c r="B32" i="1"/>
  <c r="H32" i="3" l="1"/>
  <c r="J33" i="3" s="1"/>
  <c r="I33" i="3" s="1"/>
  <c r="H33" i="3" l="1"/>
  <c r="J34" i="3" s="1"/>
  <c r="I34" i="3" s="1"/>
  <c r="H34" i="3" l="1"/>
  <c r="J35" i="3" s="1"/>
  <c r="I35" i="3" s="1"/>
  <c r="H35" i="3" l="1"/>
  <c r="J36" i="3" s="1"/>
  <c r="I36" i="3" s="1"/>
  <c r="H36" i="3" l="1"/>
  <c r="J37" i="3" s="1"/>
  <c r="I37" i="3" s="1"/>
  <c r="H37" i="3" l="1"/>
  <c r="J38" i="3" s="1"/>
  <c r="I38" i="3" s="1"/>
  <c r="J39" i="3" l="1"/>
  <c r="I39" i="3" l="1"/>
  <c r="H38" i="3"/>
</calcChain>
</file>

<file path=xl/sharedStrings.xml><?xml version="1.0" encoding="utf-8"?>
<sst xmlns="http://schemas.openxmlformats.org/spreadsheetml/2006/main" count="34" uniqueCount="9">
  <si>
    <t>Período</t>
  </si>
  <si>
    <t>Saldo Devedor</t>
  </si>
  <si>
    <t>Amortização</t>
  </si>
  <si>
    <t>Juros</t>
  </si>
  <si>
    <t>Prestação</t>
  </si>
  <si>
    <t>Prestação S.A.F</t>
  </si>
  <si>
    <t>Prestação S.A.C (15°)</t>
  </si>
  <si>
    <t xml:space="preserve">igualdade </t>
  </si>
  <si>
    <t>entre 16 e 17 (16,38)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</si>
</sst>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165" fontId="1" fillId="0" borderId="0" xfId="0" applyNumberFormat="1" applyFont="1"/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9A60B-F22D-44F9-B219-20C947DE7E59}" name="Tabela1" displayName="Tabela1" ref="A1:E27" totalsRowCount="1" headerRowDxfId="64" dataDxfId="62" totalsRowDxfId="63">
  <autoFilter ref="A1:E26" xr:uid="{8399A60B-F22D-44F9-B219-20C947DE7E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44586E8-5C7D-4E47-B899-A813055DD02C}" name="Período" dataDxfId="74" totalsRowDxfId="73"/>
    <tableColumn id="2" xr3:uid="{065952B1-0753-48BC-A87D-63A77BFC085D}" name="Saldo Devedor" dataDxfId="72" totalsRowDxfId="71"/>
    <tableColumn id="3" xr3:uid="{9AEBA2A7-FAD0-4C4D-A305-CC7F8E9E225F}" name="Amortização" totalsRowFunction="sum" dataDxfId="70" totalsRowDxfId="69"/>
    <tableColumn id="4" xr3:uid="{DE105EFF-492C-4FF6-AFAD-BEACE31A80AD}" name="Juros" totalsRowFunction="sum" dataDxfId="68" totalsRowDxfId="67"/>
    <tableColumn id="5" xr3:uid="{FD37BA96-90B0-478C-BC91-7B00D275778D}" name="Prestação" totalsRowFunction="sum" dataDxfId="66" totalsRow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4A3DE-418B-40BC-A33A-E48CC40E1353}" name="Tabela2" displayName="Tabela2" ref="A1:E33" totalsRowCount="1" headerRowDxfId="77" dataDxfId="75" totalsRowDxfId="76">
  <autoFilter ref="A1:E32" xr:uid="{8034A3DE-418B-40BC-A33A-E48CC40E135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AE18450-472B-490E-B34F-FF76B3CC0A3A}" name="Período" dataDxfId="61" totalsRowDxfId="56"/>
    <tableColumn id="2" xr3:uid="{5054738E-0E30-4343-94B1-C8059E9A458E}" name="Saldo Devedor" dataDxfId="60" totalsRowDxfId="55"/>
    <tableColumn id="3" xr3:uid="{FF52806E-A064-4AFC-81E6-763A91A23BF0}" name="Amortização" totalsRowFunction="sum" dataDxfId="59" totalsRowDxfId="54"/>
    <tableColumn id="4" xr3:uid="{C0E3D61F-72E3-43DB-A4FD-857D0FF38670}" name="Juros" totalsRowFunction="sum" dataDxfId="58" totalsRowDxfId="53"/>
    <tableColumn id="5" xr3:uid="{92FD0402-5BF5-4252-813E-07B24002F99C}" name="Prestação" totalsRowFunction="sum" dataDxfId="57" totalsRow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2A440F-2AEC-4ED4-820D-65A9ACCF4FBA}" name="Tabela3" displayName="Tabela3" ref="A1:E15" totalsRowCount="1" headerRowDxfId="51" dataDxfId="50" totalsRowDxfId="49">
  <autoFilter ref="A1:E14" xr:uid="{4D2A440F-2AEC-4ED4-820D-65A9ACCF4FBA}"/>
  <tableColumns count="5">
    <tableColumn id="1" xr3:uid="{5999D8C4-5091-478E-B294-8FCBAE090A0B}" name="Período" dataDxfId="46" totalsRowDxfId="45"/>
    <tableColumn id="2" xr3:uid="{C65F51C4-3076-4429-8DAE-04823EA0D295}" name="Saldo Devedor" dataDxfId="48" totalsRowDxfId="47"/>
    <tableColumn id="3" xr3:uid="{B481DCDE-63C2-40C1-BA40-F9D9764C2FCC}" name="Amortização" totalsRowFunction="sum" dataDxfId="44" totalsRowDxfId="43"/>
    <tableColumn id="4" xr3:uid="{1B30BC7C-EBF2-4CD3-BAF0-DD9D9E07165D}" name="Juros" totalsRowFunction="custom" dataDxfId="42" totalsRowDxfId="41">
      <totalsRowFormula>SUM(D5:D14)</totalsRowFormula>
    </tableColumn>
    <tableColumn id="5" xr3:uid="{EB4FDC2F-EE43-4A4A-870E-9EA55F3A709F}" name="Prestação" totalsRowFunction="sum" dataDxfId="40" totalsRow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7451D3-895D-4367-BF46-93FBA4FC4CD1}" name="Tabela35" displayName="Tabela35" ref="A1:E39" totalsRowCount="1" headerRowDxfId="38" dataDxfId="37" totalsRowDxfId="36">
  <autoFilter ref="A1:E38" xr:uid="{137451D3-895D-4367-BF46-93FBA4FC4CD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546DC3C-38E8-49D8-9706-A1E4D89E162C}" name="Período" dataDxfId="35" totalsRowDxfId="17"/>
    <tableColumn id="2" xr3:uid="{A7BAE6FF-DCDD-455D-90D7-81A42C09EA5D}" name="Saldo Devedor" dataDxfId="34" totalsRowDxfId="16"/>
    <tableColumn id="3" xr3:uid="{2044F895-9F24-4FBE-B838-6E4CA7B25166}" name="Amortização" totalsRowFunction="sum" dataDxfId="33" totalsRowDxfId="15"/>
    <tableColumn id="4" xr3:uid="{90BD21EA-8B7E-4AFC-9DD5-EFFCCD979064}" name="Juros" totalsRowFunction="sum" dataDxfId="32" totalsRowDxfId="14"/>
    <tableColumn id="5" xr3:uid="{2151E2F5-1C26-4387-8349-6DCF5193EEFB}" name="Prestação" totalsRowFunction="sum" dataDxfId="31" totalsRow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7D8615-9085-4A05-91A8-9E719532AF9C}" name="Tabela16" displayName="Tabela16" ref="G1:K39" totalsRowCount="1" headerRowDxfId="30" dataDxfId="29" totalsRowDxfId="28">
  <autoFilter ref="G1:K38" xr:uid="{FA7D8615-9085-4A05-91A8-9E719532AF9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27C76BE-4FDE-471F-B54F-56130648E8C1}" name="Período" dataDxfId="27" totalsRowDxfId="22"/>
    <tableColumn id="2" xr3:uid="{A372C382-554B-496D-A53B-DEB9A7F90AE8}" name="Saldo Devedor" dataDxfId="26" totalsRowDxfId="21"/>
    <tableColumn id="3" xr3:uid="{7B95E25D-B74A-48CF-99EE-B22605CC6117}" name="Amortização" totalsRowFunction="sum" dataDxfId="25" totalsRowDxfId="20"/>
    <tableColumn id="4" xr3:uid="{0EC8100F-C8DA-4A68-BF25-FB4DDD87BCE0}" name="Juros" totalsRowFunction="sum" dataDxfId="24" totalsRowDxfId="19"/>
    <tableColumn id="5" xr3:uid="{EDFE296C-92AE-4FA8-B870-91964C226428}" name="Prestação" totalsRowFunction="sum" dataDxfId="23" totalsRow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B4D168-D47D-44D5-9C7A-3D3A3ABDE3A8}" name="Tabela17" displayName="Tabela17" ref="A1:E9" totalsRowCount="1" headerRowDxfId="12" dataDxfId="11" totalsRowDxfId="10">
  <autoFilter ref="A1:E8" xr:uid="{5FB4D168-D47D-44D5-9C7A-3D3A3ABDE3A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D0F4C16-A64B-49B5-9358-85CCAE1A437F}" name="Período" dataDxfId="9" totalsRowDxfId="4"/>
    <tableColumn id="2" xr3:uid="{0BDE1D8E-6086-41B8-901B-DE8B674CAAA6}" name="Saldo Devedor" dataDxfId="8" totalsRowDxfId="3"/>
    <tableColumn id="3" xr3:uid="{4E950EFF-8F59-44A8-AC9A-75014BF1B182}" name="Amortização" totalsRowFunction="sum" dataDxfId="7" totalsRowDxfId="2"/>
    <tableColumn id="4" xr3:uid="{1FB4AC37-E54C-4AE9-B0BD-EAE759F35BEA}" name="Juros" totalsRowFunction="sum" dataDxfId="6" totalsRowDxfId="1"/>
    <tableColumn id="5" xr3:uid="{1B05E451-14A3-4108-AB06-29C0C926D001}" name="Prestação" totalsRowFunction="sum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9E94-ED29-411C-9916-FAD4488E6B08}">
  <dimension ref="A1:E27"/>
  <sheetViews>
    <sheetView topLeftCell="A3" zoomScale="85" zoomScaleNormal="85" workbookViewId="0">
      <selection sqref="A1:E27"/>
    </sheetView>
  </sheetViews>
  <sheetFormatPr defaultRowHeight="15" customHeight="1" x14ac:dyDescent="0.4"/>
  <cols>
    <col min="1" max="1" width="10.5703125" style="2" bestFit="1" customWidth="1"/>
    <col min="2" max="2" width="18.5703125" style="3" bestFit="1" customWidth="1"/>
    <col min="3" max="3" width="17.28515625" style="3" bestFit="1" customWidth="1"/>
    <col min="4" max="4" width="15.7109375" style="3" bestFit="1" customWidth="1"/>
    <col min="5" max="5" width="17.28515625" style="3" bestFit="1" customWidth="1"/>
    <col min="6" max="6" width="9.140625" style="1"/>
    <col min="7" max="7" width="35.85546875" style="1" bestFit="1" customWidth="1"/>
    <col min="8" max="16384" width="9.140625" style="1"/>
  </cols>
  <sheetData>
    <row r="1" spans="1:5" ht="15" customHeigh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customHeight="1" x14ac:dyDescent="0.4">
      <c r="A2" s="4">
        <v>0</v>
      </c>
      <c r="B2" s="5">
        <v>48000</v>
      </c>
      <c r="C2" s="5">
        <v>0</v>
      </c>
      <c r="D2" s="5">
        <v>0</v>
      </c>
      <c r="E2" s="5">
        <v>0</v>
      </c>
    </row>
    <row r="3" spans="1:5" ht="15" customHeight="1" x14ac:dyDescent="0.4">
      <c r="A3" s="4">
        <v>1</v>
      </c>
      <c r="B3" s="5">
        <f>B2-Tabela1[[#This Row],[Amortização]]</f>
        <v>46272.640893746349</v>
      </c>
      <c r="C3" s="5">
        <f>Tabela1[[#This Row],[Prestação]]-Tabela1[[#This Row],[Juros]]</f>
        <v>1727.3591062536511</v>
      </c>
      <c r="D3" s="5">
        <f>B2*0.0125</f>
        <v>600</v>
      </c>
      <c r="E3" s="5">
        <f>$B$2 * (((1+0.0125)^24)*0.0125)/(((1+0.0125)^24)-1)</f>
        <v>2327.3591062536511</v>
      </c>
    </row>
    <row r="4" spans="1:5" ht="15" customHeight="1" x14ac:dyDescent="0.4">
      <c r="A4" s="4">
        <v>2</v>
      </c>
      <c r="B4" s="5">
        <f>B3-Tabela1[[#This Row],[Amortização]]</f>
        <v>44523.689798664527</v>
      </c>
      <c r="C4" s="5">
        <f>Tabela1[[#This Row],[Prestação]]-Tabela1[[#This Row],[Juros]]</f>
        <v>1748.9510950818217</v>
      </c>
      <c r="D4" s="5">
        <f t="shared" ref="D4:D26" si="0">B3*0.0125</f>
        <v>578.40801117182934</v>
      </c>
      <c r="E4" s="5">
        <f t="shared" ref="E4:E26" si="1">$B$2 * (((1+0.0125)^24)*0.0125)/(((1+0.0125)^24)-1)</f>
        <v>2327.3591062536511</v>
      </c>
    </row>
    <row r="5" spans="1:5" ht="15" customHeight="1" x14ac:dyDescent="0.4">
      <c r="A5" s="4">
        <v>3</v>
      </c>
      <c r="B5" s="5">
        <f>B4-Tabela1[[#This Row],[Amortização]]</f>
        <v>42752.876814894182</v>
      </c>
      <c r="C5" s="5">
        <f>Tabela1[[#This Row],[Prestação]]-Tabela1[[#This Row],[Juros]]</f>
        <v>1770.8129837703445</v>
      </c>
      <c r="D5" s="5">
        <f t="shared" si="0"/>
        <v>556.54612248330659</v>
      </c>
      <c r="E5" s="5">
        <f t="shared" si="1"/>
        <v>2327.3591062536511</v>
      </c>
    </row>
    <row r="6" spans="1:5" ht="15" customHeight="1" x14ac:dyDescent="0.4">
      <c r="A6" s="4">
        <v>4</v>
      </c>
      <c r="B6" s="5">
        <f>B5-Tabela1[[#This Row],[Amortização]]</f>
        <v>40959.928668826709</v>
      </c>
      <c r="C6" s="5">
        <f>Tabela1[[#This Row],[Prestação]]-Tabela1[[#This Row],[Juros]]</f>
        <v>1792.9481460674738</v>
      </c>
      <c r="D6" s="5">
        <f t="shared" si="0"/>
        <v>534.41096018617725</v>
      </c>
      <c r="E6" s="5">
        <f t="shared" si="1"/>
        <v>2327.3591062536511</v>
      </c>
    </row>
    <row r="7" spans="1:5" ht="15" customHeight="1" x14ac:dyDescent="0.4">
      <c r="A7" s="4">
        <v>5</v>
      </c>
      <c r="B7" s="5">
        <f>B6-Tabela1[[#This Row],[Amortização]]</f>
        <v>39144.56867093339</v>
      </c>
      <c r="C7" s="5">
        <f>Tabela1[[#This Row],[Prestação]]-Tabela1[[#This Row],[Juros]]</f>
        <v>1815.3599978933173</v>
      </c>
      <c r="D7" s="5">
        <f t="shared" si="0"/>
        <v>511.99910836033388</v>
      </c>
      <c r="E7" s="5">
        <f t="shared" si="1"/>
        <v>2327.3591062536511</v>
      </c>
    </row>
    <row r="8" spans="1:5" ht="15" customHeight="1" x14ac:dyDescent="0.4">
      <c r="A8" s="4">
        <v>6</v>
      </c>
      <c r="B8" s="5">
        <f>B7-Tabela1[[#This Row],[Amortização]]</f>
        <v>37306.516673066406</v>
      </c>
      <c r="C8" s="5">
        <f>Tabela1[[#This Row],[Prestação]]-Tabela1[[#This Row],[Juros]]</f>
        <v>1838.0519978669838</v>
      </c>
      <c r="D8" s="5">
        <f t="shared" si="0"/>
        <v>489.30710838666738</v>
      </c>
      <c r="E8" s="5">
        <f t="shared" si="1"/>
        <v>2327.3591062536511</v>
      </c>
    </row>
    <row r="9" spans="1:5" ht="15" customHeight="1" x14ac:dyDescent="0.4">
      <c r="A9" s="4">
        <v>7</v>
      </c>
      <c r="B9" s="5">
        <f>B8-Tabela1[[#This Row],[Amortização]]</f>
        <v>35445.489025226081</v>
      </c>
      <c r="C9" s="5">
        <f>Tabela1[[#This Row],[Prestação]]-Tabela1[[#This Row],[Juros]]</f>
        <v>1861.0276478403212</v>
      </c>
      <c r="D9" s="5">
        <f t="shared" si="0"/>
        <v>466.3314584133301</v>
      </c>
      <c r="E9" s="5">
        <f t="shared" si="1"/>
        <v>2327.3591062536511</v>
      </c>
    </row>
    <row r="10" spans="1:5" ht="15" customHeight="1" x14ac:dyDescent="0.4">
      <c r="A10" s="4">
        <v>8</v>
      </c>
      <c r="B10" s="5">
        <f>B9-Tabela1[[#This Row],[Amortização]]</f>
        <v>33561.198531787755</v>
      </c>
      <c r="C10" s="5">
        <f>Tabela1[[#This Row],[Prestação]]-Tabela1[[#This Row],[Juros]]</f>
        <v>1884.290493438325</v>
      </c>
      <c r="D10" s="5">
        <f t="shared" si="0"/>
        <v>443.06861281532605</v>
      </c>
      <c r="E10" s="5">
        <f t="shared" si="1"/>
        <v>2327.3591062536511</v>
      </c>
    </row>
    <row r="11" spans="1:5" ht="15" customHeight="1" x14ac:dyDescent="0.4">
      <c r="A11" s="4">
        <v>9</v>
      </c>
      <c r="B11" s="5">
        <f>B10-Tabela1[[#This Row],[Amortização]]</f>
        <v>31653.35440718145</v>
      </c>
      <c r="C11" s="5">
        <f>Tabela1[[#This Row],[Prestação]]-Tabela1[[#This Row],[Juros]]</f>
        <v>1907.8441246063041</v>
      </c>
      <c r="D11" s="5">
        <f t="shared" si="0"/>
        <v>419.51498164734699</v>
      </c>
      <c r="E11" s="5">
        <f t="shared" si="1"/>
        <v>2327.3591062536511</v>
      </c>
    </row>
    <row r="12" spans="1:5" ht="15" customHeight="1" x14ac:dyDescent="0.4">
      <c r="A12" s="4">
        <v>10</v>
      </c>
      <c r="B12" s="5">
        <f>B11-Tabela1[[#This Row],[Amortização]]</f>
        <v>29721.662231017566</v>
      </c>
      <c r="C12" s="5">
        <f>Tabela1[[#This Row],[Prestação]]-Tabela1[[#This Row],[Juros]]</f>
        <v>1931.692176163883</v>
      </c>
      <c r="D12" s="5">
        <f t="shared" si="0"/>
        <v>395.66693008976813</v>
      </c>
      <c r="E12" s="5">
        <f t="shared" si="1"/>
        <v>2327.3591062536511</v>
      </c>
    </row>
    <row r="13" spans="1:5" ht="15" customHeight="1" x14ac:dyDescent="0.4">
      <c r="A13" s="4">
        <v>11</v>
      </c>
      <c r="B13" s="5">
        <f>B12-Tabela1[[#This Row],[Amortização]]</f>
        <v>27765.823902651635</v>
      </c>
      <c r="C13" s="5">
        <f>Tabela1[[#This Row],[Prestação]]-Tabela1[[#This Row],[Juros]]</f>
        <v>1955.8383283659316</v>
      </c>
      <c r="D13" s="5">
        <f t="shared" si="0"/>
        <v>371.52077788771959</v>
      </c>
      <c r="E13" s="5">
        <f t="shared" si="1"/>
        <v>2327.3591062536511</v>
      </c>
    </row>
    <row r="14" spans="1:5" ht="15" customHeight="1" x14ac:dyDescent="0.4">
      <c r="A14" s="4">
        <v>12</v>
      </c>
      <c r="B14" s="5">
        <f>B13-Tabela1[[#This Row],[Amortização]]</f>
        <v>25785.537595181129</v>
      </c>
      <c r="C14" s="5">
        <f>Tabela1[[#This Row],[Prestação]]-Tabela1[[#This Row],[Juros]]</f>
        <v>1980.2863074705056</v>
      </c>
      <c r="D14" s="5">
        <f t="shared" si="0"/>
        <v>347.07279878314546</v>
      </c>
      <c r="E14" s="5">
        <f t="shared" si="1"/>
        <v>2327.3591062536511</v>
      </c>
    </row>
    <row r="15" spans="1:5" ht="15" customHeight="1" x14ac:dyDescent="0.4">
      <c r="A15" s="4">
        <v>13</v>
      </c>
      <c r="B15" s="5">
        <f>B14-Tabela1[[#This Row],[Amortização]]</f>
        <v>23780.497708867242</v>
      </c>
      <c r="C15" s="5">
        <f>Tabela1[[#This Row],[Prestação]]-Tabela1[[#This Row],[Juros]]</f>
        <v>2005.0398863138871</v>
      </c>
      <c r="D15" s="5">
        <f t="shared" si="0"/>
        <v>322.31921993976414</v>
      </c>
      <c r="E15" s="5">
        <f t="shared" si="1"/>
        <v>2327.3591062536511</v>
      </c>
    </row>
    <row r="16" spans="1:5" ht="15" customHeight="1" x14ac:dyDescent="0.4">
      <c r="A16" s="4">
        <v>14</v>
      </c>
      <c r="B16" s="5">
        <f>B15-Tabela1[[#This Row],[Amortização]]</f>
        <v>21750.394823974431</v>
      </c>
      <c r="C16" s="5">
        <f>Tabela1[[#This Row],[Prestação]]-Tabela1[[#This Row],[Juros]]</f>
        <v>2030.1028848928106</v>
      </c>
      <c r="D16" s="5">
        <f t="shared" si="0"/>
        <v>297.25622136084053</v>
      </c>
      <c r="E16" s="5">
        <f t="shared" si="1"/>
        <v>2327.3591062536511</v>
      </c>
    </row>
    <row r="17" spans="1:5" ht="15" customHeight="1" x14ac:dyDescent="0.4">
      <c r="A17" s="4">
        <v>15</v>
      </c>
      <c r="B17" s="5">
        <f>B16-Tabela1[[#This Row],[Amortização]]</f>
        <v>19694.91565302046</v>
      </c>
      <c r="C17" s="5">
        <f>Tabela1[[#This Row],[Prestação]]-Tabela1[[#This Row],[Juros]]</f>
        <v>2055.4791709539709</v>
      </c>
      <c r="D17" s="5">
        <f t="shared" si="0"/>
        <v>271.87993529968043</v>
      </c>
      <c r="E17" s="5">
        <f t="shared" si="1"/>
        <v>2327.3591062536511</v>
      </c>
    </row>
    <row r="18" spans="1:5" ht="15" customHeight="1" x14ac:dyDescent="0.4">
      <c r="A18" s="4">
        <v>16</v>
      </c>
      <c r="B18" s="5">
        <f>B17-Tabela1[[#This Row],[Amortização]]</f>
        <v>17613.742992429565</v>
      </c>
      <c r="C18" s="5">
        <f>Tabela1[[#This Row],[Prestação]]-Tabela1[[#This Row],[Juros]]</f>
        <v>2081.1726605908952</v>
      </c>
      <c r="D18" s="5">
        <f t="shared" si="0"/>
        <v>246.18644566275577</v>
      </c>
      <c r="E18" s="5">
        <f t="shared" si="1"/>
        <v>2327.3591062536511</v>
      </c>
    </row>
    <row r="19" spans="1:5" ht="15" customHeight="1" x14ac:dyDescent="0.4">
      <c r="A19" s="4">
        <v>17</v>
      </c>
      <c r="B19" s="5">
        <f>B18-Tabela1[[#This Row],[Amortização]]</f>
        <v>15506.555673581282</v>
      </c>
      <c r="C19" s="5">
        <f>Tabela1[[#This Row],[Prestação]]-Tabela1[[#This Row],[Juros]]</f>
        <v>2107.1873188482814</v>
      </c>
      <c r="D19" s="5">
        <f t="shared" si="0"/>
        <v>220.17178740536957</v>
      </c>
      <c r="E19" s="5">
        <f t="shared" si="1"/>
        <v>2327.3591062536511</v>
      </c>
    </row>
    <row r="20" spans="1:5" ht="15" customHeight="1" x14ac:dyDescent="0.4">
      <c r="A20" s="4">
        <v>18</v>
      </c>
      <c r="B20" s="5">
        <f>B19-Tabela1[[#This Row],[Amortização]]</f>
        <v>13373.028513247398</v>
      </c>
      <c r="C20" s="5">
        <f>Tabela1[[#This Row],[Prestação]]-Tabela1[[#This Row],[Juros]]</f>
        <v>2133.5271603338851</v>
      </c>
      <c r="D20" s="5">
        <f t="shared" si="0"/>
        <v>193.83194591976604</v>
      </c>
      <c r="E20" s="5">
        <f t="shared" si="1"/>
        <v>2327.3591062536511</v>
      </c>
    </row>
    <row r="21" spans="1:5" ht="15" customHeight="1" x14ac:dyDescent="0.4">
      <c r="A21" s="4">
        <v>19</v>
      </c>
      <c r="B21" s="5">
        <f>B20-Tabela1[[#This Row],[Amortização]]</f>
        <v>11212.83226340934</v>
      </c>
      <c r="C21" s="5">
        <f>Tabela1[[#This Row],[Prestação]]-Tabela1[[#This Row],[Juros]]</f>
        <v>2160.1962498380585</v>
      </c>
      <c r="D21" s="5">
        <f t="shared" si="0"/>
        <v>167.1628564155925</v>
      </c>
      <c r="E21" s="5">
        <f t="shared" si="1"/>
        <v>2327.3591062536511</v>
      </c>
    </row>
    <row r="22" spans="1:5" ht="15" customHeight="1" x14ac:dyDescent="0.4">
      <c r="A22" s="4">
        <v>20</v>
      </c>
      <c r="B22" s="5">
        <f>B21-Tabela1[[#This Row],[Amortização]]</f>
        <v>9025.6335604483065</v>
      </c>
      <c r="C22" s="5">
        <f>Tabela1[[#This Row],[Prestação]]-Tabela1[[#This Row],[Juros]]</f>
        <v>2187.1987029610345</v>
      </c>
      <c r="D22" s="5">
        <f t="shared" si="0"/>
        <v>140.16040329261676</v>
      </c>
      <c r="E22" s="5">
        <f t="shared" si="1"/>
        <v>2327.3591062536511</v>
      </c>
    </row>
    <row r="23" spans="1:5" ht="15" customHeight="1" x14ac:dyDescent="0.4">
      <c r="A23" s="4">
        <v>21</v>
      </c>
      <c r="B23" s="5">
        <f>B22-Tabela1[[#This Row],[Amortização]]</f>
        <v>6811.0948737002591</v>
      </c>
      <c r="C23" s="5">
        <f>Tabela1[[#This Row],[Prestação]]-Tabela1[[#This Row],[Juros]]</f>
        <v>2214.5386867480474</v>
      </c>
      <c r="D23" s="5">
        <f t="shared" si="0"/>
        <v>112.82041950560384</v>
      </c>
      <c r="E23" s="5">
        <f t="shared" si="1"/>
        <v>2327.3591062536511</v>
      </c>
    </row>
    <row r="24" spans="1:5" ht="15" customHeight="1" x14ac:dyDescent="0.4">
      <c r="A24" s="4">
        <v>22</v>
      </c>
      <c r="B24" s="5">
        <f>B23-Tabela1[[#This Row],[Amortização]]</f>
        <v>4568.8744533678619</v>
      </c>
      <c r="C24" s="5">
        <f>Tabela1[[#This Row],[Prestação]]-Tabela1[[#This Row],[Juros]]</f>
        <v>2242.2204203323977</v>
      </c>
      <c r="D24" s="5">
        <f t="shared" si="0"/>
        <v>85.138685921253241</v>
      </c>
      <c r="E24" s="5">
        <f t="shared" si="1"/>
        <v>2327.3591062536511</v>
      </c>
    </row>
    <row r="25" spans="1:5" ht="15" customHeight="1" x14ac:dyDescent="0.4">
      <c r="A25" s="4">
        <v>23</v>
      </c>
      <c r="B25" s="5">
        <f>B24-Tabela1[[#This Row],[Amortização]]</f>
        <v>2298.626277781309</v>
      </c>
      <c r="C25" s="5">
        <f>Tabela1[[#This Row],[Prestação]]-Tabela1[[#This Row],[Juros]]</f>
        <v>2270.2481755865529</v>
      </c>
      <c r="D25" s="5">
        <f t="shared" si="0"/>
        <v>57.110930667098273</v>
      </c>
      <c r="E25" s="5">
        <f t="shared" si="1"/>
        <v>2327.3591062536511</v>
      </c>
    </row>
    <row r="26" spans="1:5" ht="15" customHeight="1" x14ac:dyDescent="0.4">
      <c r="A26" s="4">
        <v>24</v>
      </c>
      <c r="B26" s="5">
        <f>B25-Tabela1[[#This Row],[Amortização]]</f>
        <v>-7.5942807598039508E-11</v>
      </c>
      <c r="C26" s="5">
        <f>Tabela1[[#This Row],[Prestação]]-Tabela1[[#This Row],[Juros]]</f>
        <v>2298.6262777813849</v>
      </c>
      <c r="D26" s="5">
        <f t="shared" si="0"/>
        <v>28.732828472266362</v>
      </c>
      <c r="E26" s="5">
        <f t="shared" si="1"/>
        <v>2327.3591062536511</v>
      </c>
    </row>
    <row r="27" spans="1:5" ht="15" customHeight="1" x14ac:dyDescent="0.4">
      <c r="A27" s="4"/>
      <c r="B27" s="5"/>
      <c r="C27" s="5">
        <f>SUBTOTAL(109,Tabela1[Amortização])</f>
        <v>48000.000000000073</v>
      </c>
      <c r="D27" s="5">
        <f>SUBTOTAL(109,Tabela1[Juros])</f>
        <v>7856.6185500875581</v>
      </c>
      <c r="E27" s="5">
        <f>SUBTOTAL(109,Tabela1[Prestação])</f>
        <v>55856.618550087624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E31" sqref="E31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3.7109375" bestFit="1" customWidth="1"/>
    <col min="4" max="5" width="12.8554687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4">
        <v>0</v>
      </c>
      <c r="B2" s="5">
        <v>90000</v>
      </c>
      <c r="C2" s="5">
        <v>0</v>
      </c>
      <c r="D2" s="5">
        <v>0</v>
      </c>
      <c r="E2" s="5">
        <v>0</v>
      </c>
    </row>
    <row r="3" spans="1:5" x14ac:dyDescent="0.25">
      <c r="A3" s="4">
        <v>1</v>
      </c>
      <c r="B3" s="5">
        <f>B2-Tabela2[[#This Row],[Amortização]]</f>
        <v>90000</v>
      </c>
      <c r="C3" s="5">
        <v>0</v>
      </c>
      <c r="D3" s="5">
        <f>B2*0.01</f>
        <v>900</v>
      </c>
      <c r="E3" s="5">
        <v>0</v>
      </c>
    </row>
    <row r="4" spans="1:5" x14ac:dyDescent="0.25">
      <c r="A4" s="4">
        <v>2</v>
      </c>
      <c r="B4" s="5">
        <f>B3-Tabela2[[#This Row],[Amortização]]</f>
        <v>90000</v>
      </c>
      <c r="C4" s="5">
        <v>0</v>
      </c>
      <c r="D4" s="5">
        <v>900</v>
      </c>
      <c r="E4" s="5">
        <v>0</v>
      </c>
    </row>
    <row r="5" spans="1:5" x14ac:dyDescent="0.25">
      <c r="A5" s="4">
        <v>3</v>
      </c>
      <c r="B5" s="5">
        <f>B4-Tabela2[[#This Row],[Amortização]]</f>
        <v>90000</v>
      </c>
      <c r="C5" s="5">
        <v>0</v>
      </c>
      <c r="D5" s="5">
        <v>900</v>
      </c>
      <c r="E5" s="5">
        <v>0</v>
      </c>
    </row>
    <row r="6" spans="1:5" x14ac:dyDescent="0.25">
      <c r="A6" s="4">
        <v>4</v>
      </c>
      <c r="B6" s="5">
        <f>B5-Tabela2[[#This Row],[Amortização]]</f>
        <v>90000</v>
      </c>
      <c r="C6" s="5">
        <v>0</v>
      </c>
      <c r="D6" s="5">
        <v>900</v>
      </c>
      <c r="E6" s="5">
        <v>0</v>
      </c>
    </row>
    <row r="7" spans="1:5" x14ac:dyDescent="0.25">
      <c r="A7" s="4">
        <v>5</v>
      </c>
      <c r="B7" s="5">
        <f>B6-Tabela2[[#This Row],[Amortização]]</f>
        <v>90000</v>
      </c>
      <c r="C7" s="5">
        <v>0</v>
      </c>
      <c r="D7" s="5">
        <v>900</v>
      </c>
      <c r="E7" s="5">
        <v>0</v>
      </c>
    </row>
    <row r="8" spans="1:5" x14ac:dyDescent="0.25">
      <c r="A8" s="4">
        <v>6</v>
      </c>
      <c r="B8" s="5">
        <f>B7-Tabela2[[#This Row],[Amortização]]</f>
        <v>90000</v>
      </c>
      <c r="C8" s="5">
        <v>0</v>
      </c>
      <c r="D8" s="5">
        <v>900</v>
      </c>
      <c r="E8" s="5">
        <v>0</v>
      </c>
    </row>
    <row r="9" spans="1:5" x14ac:dyDescent="0.25">
      <c r="A9" s="4">
        <v>7</v>
      </c>
      <c r="B9" s="5">
        <f>B8-Tabela2[[#This Row],[Amortização]]</f>
        <v>86663.387499906181</v>
      </c>
      <c r="C9" s="5">
        <f>Tabela2[[#This Row],[Prestação]]-Tabela2[[#This Row],[Juros]]</f>
        <v>3336.6125000938173</v>
      </c>
      <c r="D9" s="5">
        <f t="shared" ref="D4:D26" si="0">B8*0.01</f>
        <v>900</v>
      </c>
      <c r="E9" s="5">
        <f t="shared" ref="E4:E32" si="1">$B$2 * (((1+0.01)^24)*0.01)/(((1+0.01)^24)-1)</f>
        <v>4236.6125000938173</v>
      </c>
    </row>
    <row r="10" spans="1:5" x14ac:dyDescent="0.25">
      <c r="A10" s="4">
        <v>8</v>
      </c>
      <c r="B10" s="5">
        <f>B9-Tabela2[[#This Row],[Amortização]]</f>
        <v>83293.40887481143</v>
      </c>
      <c r="C10" s="5">
        <f>Tabela2[[#This Row],[Prestação]]-Tabela2[[#This Row],[Juros]]</f>
        <v>3369.9786250947554</v>
      </c>
      <c r="D10" s="5">
        <f t="shared" si="0"/>
        <v>866.63387499906185</v>
      </c>
      <c r="E10" s="5">
        <f t="shared" si="1"/>
        <v>4236.6125000938173</v>
      </c>
    </row>
    <row r="11" spans="1:5" x14ac:dyDescent="0.25">
      <c r="A11" s="4">
        <v>9</v>
      </c>
      <c r="B11" s="5">
        <f>B10-Tabela2[[#This Row],[Amortização]]</f>
        <v>79889.730463465734</v>
      </c>
      <c r="C11" s="5">
        <f>Tabela2[[#This Row],[Prestação]]-Tabela2[[#This Row],[Juros]]</f>
        <v>3403.6784113457029</v>
      </c>
      <c r="D11" s="5">
        <f t="shared" si="0"/>
        <v>832.93408874811428</v>
      </c>
      <c r="E11" s="5">
        <f t="shared" si="1"/>
        <v>4236.6125000938173</v>
      </c>
    </row>
    <row r="12" spans="1:5" x14ac:dyDescent="0.25">
      <c r="A12" s="4">
        <v>10</v>
      </c>
      <c r="B12" s="5">
        <f>B11-Tabela2[[#This Row],[Amortização]]</f>
        <v>76452.01526800658</v>
      </c>
      <c r="C12" s="5">
        <f>Tabela2[[#This Row],[Prestação]]-Tabela2[[#This Row],[Juros]]</f>
        <v>3437.71519545916</v>
      </c>
      <c r="D12" s="5">
        <f t="shared" si="0"/>
        <v>798.8973046346573</v>
      </c>
      <c r="E12" s="5">
        <f t="shared" si="1"/>
        <v>4236.6125000938173</v>
      </c>
    </row>
    <row r="13" spans="1:5" x14ac:dyDescent="0.25">
      <c r="A13" s="4">
        <v>11</v>
      </c>
      <c r="B13" s="5">
        <f>B12-Tabela2[[#This Row],[Amortização]]</f>
        <v>72979.922920592828</v>
      </c>
      <c r="C13" s="5">
        <f>Tabela2[[#This Row],[Prestação]]-Tabela2[[#This Row],[Juros]]</f>
        <v>3472.0923474137517</v>
      </c>
      <c r="D13" s="5">
        <f t="shared" si="0"/>
        <v>764.52015268006585</v>
      </c>
      <c r="E13" s="5">
        <f t="shared" si="1"/>
        <v>4236.6125000938173</v>
      </c>
    </row>
    <row r="14" spans="1:5" x14ac:dyDescent="0.25">
      <c r="A14" s="4">
        <v>12</v>
      </c>
      <c r="B14" s="5">
        <f>B13-Tabela2[[#This Row],[Amortização]]</f>
        <v>69473.109649704944</v>
      </c>
      <c r="C14" s="5">
        <f>Tabela2[[#This Row],[Prestação]]-Tabela2[[#This Row],[Juros]]</f>
        <v>3506.8132708878888</v>
      </c>
      <c r="D14" s="5">
        <f t="shared" si="0"/>
        <v>729.79922920592833</v>
      </c>
      <c r="E14" s="5">
        <f t="shared" si="1"/>
        <v>4236.6125000938173</v>
      </c>
    </row>
    <row r="15" spans="1:5" x14ac:dyDescent="0.25">
      <c r="A15" s="4">
        <v>13</v>
      </c>
      <c r="B15" s="5">
        <f>B14-Tabela2[[#This Row],[Amortização]]</f>
        <v>65931.228246108178</v>
      </c>
      <c r="C15" s="5">
        <f>Tabela2[[#This Row],[Prestação]]-Tabela2[[#This Row],[Juros]]</f>
        <v>3541.881403596768</v>
      </c>
      <c r="D15" s="5">
        <f t="shared" si="0"/>
        <v>694.73109649704941</v>
      </c>
      <c r="E15" s="5">
        <f t="shared" si="1"/>
        <v>4236.6125000938173</v>
      </c>
    </row>
    <row r="16" spans="1:5" x14ac:dyDescent="0.25">
      <c r="A16" s="4">
        <v>14</v>
      </c>
      <c r="B16" s="5">
        <f>B15-Tabela2[[#This Row],[Amortização]]</f>
        <v>62353.928028475442</v>
      </c>
      <c r="C16" s="5">
        <f>Tabela2[[#This Row],[Prestação]]-Tabela2[[#This Row],[Juros]]</f>
        <v>3577.3002176327354</v>
      </c>
      <c r="D16" s="5">
        <f t="shared" si="0"/>
        <v>659.31228246108174</v>
      </c>
      <c r="E16" s="5">
        <f t="shared" si="1"/>
        <v>4236.6125000938173</v>
      </c>
    </row>
    <row r="17" spans="1:5" x14ac:dyDescent="0.25">
      <c r="A17" s="4">
        <v>15</v>
      </c>
      <c r="B17" s="5">
        <f>B16-Tabela2[[#This Row],[Amortização]]</f>
        <v>58740.85480866638</v>
      </c>
      <c r="C17" s="5">
        <f>Tabela2[[#This Row],[Prestação]]-Tabela2[[#This Row],[Juros]]</f>
        <v>3613.0732198090627</v>
      </c>
      <c r="D17" s="5">
        <f t="shared" si="0"/>
        <v>623.53928028475445</v>
      </c>
      <c r="E17" s="5">
        <f t="shared" si="1"/>
        <v>4236.6125000938173</v>
      </c>
    </row>
    <row r="18" spans="1:5" x14ac:dyDescent="0.25">
      <c r="A18" s="4">
        <v>16</v>
      </c>
      <c r="B18" s="5">
        <f>B17-Tabela2[[#This Row],[Amortização]]</f>
        <v>55091.650856659224</v>
      </c>
      <c r="C18" s="5">
        <f>Tabela2[[#This Row],[Prestação]]-Tabela2[[#This Row],[Juros]]</f>
        <v>3649.2039520071535</v>
      </c>
      <c r="D18" s="5">
        <f t="shared" si="0"/>
        <v>587.40854808666381</v>
      </c>
      <c r="E18" s="5">
        <f t="shared" si="1"/>
        <v>4236.6125000938173</v>
      </c>
    </row>
    <row r="19" spans="1:5" x14ac:dyDescent="0.25">
      <c r="A19" s="4">
        <v>17</v>
      </c>
      <c r="B19" s="5">
        <f>B18-Tabela2[[#This Row],[Amortização]]</f>
        <v>51405.954865132</v>
      </c>
      <c r="C19" s="5">
        <f>Tabela2[[#This Row],[Prestação]]-Tabela2[[#This Row],[Juros]]</f>
        <v>3685.695991527225</v>
      </c>
      <c r="D19" s="5">
        <f t="shared" si="0"/>
        <v>550.91650856659226</v>
      </c>
      <c r="E19" s="5">
        <f t="shared" si="1"/>
        <v>4236.6125000938173</v>
      </c>
    </row>
    <row r="20" spans="1:5" x14ac:dyDescent="0.25">
      <c r="A20" s="4">
        <v>18</v>
      </c>
      <c r="B20" s="5">
        <f>B19-Tabela2[[#This Row],[Amortização]]</f>
        <v>47683.4019136895</v>
      </c>
      <c r="C20" s="5">
        <f>Tabela2[[#This Row],[Prestação]]-Tabela2[[#This Row],[Juros]]</f>
        <v>3722.552951442497</v>
      </c>
      <c r="D20" s="5">
        <f t="shared" si="0"/>
        <v>514.05954865132003</v>
      </c>
      <c r="E20" s="5">
        <f t="shared" si="1"/>
        <v>4236.6125000938173</v>
      </c>
    </row>
    <row r="21" spans="1:5" x14ac:dyDescent="0.25">
      <c r="A21" s="4">
        <v>19</v>
      </c>
      <c r="B21" s="5">
        <f>B20-Tabela2[[#This Row],[Amortização]]</f>
        <v>43923.62343273258</v>
      </c>
      <c r="C21" s="5">
        <f>Tabela2[[#This Row],[Prestação]]-Tabela2[[#This Row],[Juros]]</f>
        <v>3759.7784809569221</v>
      </c>
      <c r="D21" s="5">
        <f t="shared" si="0"/>
        <v>476.83401913689499</v>
      </c>
      <c r="E21" s="5">
        <f t="shared" si="1"/>
        <v>4236.6125000938173</v>
      </c>
    </row>
    <row r="22" spans="1:5" x14ac:dyDescent="0.25">
      <c r="A22" s="4">
        <v>20</v>
      </c>
      <c r="B22" s="5">
        <f>B21-Tabela2[[#This Row],[Amortização]]</f>
        <v>40126.247166966088</v>
      </c>
      <c r="C22" s="5">
        <f>Tabela2[[#This Row],[Prestação]]-Tabela2[[#This Row],[Juros]]</f>
        <v>3797.3762657664915</v>
      </c>
      <c r="D22" s="5">
        <f t="shared" si="0"/>
        <v>439.2362343273258</v>
      </c>
      <c r="E22" s="5">
        <f t="shared" si="1"/>
        <v>4236.6125000938173</v>
      </c>
    </row>
    <row r="23" spans="1:5" x14ac:dyDescent="0.25">
      <c r="A23" s="4">
        <v>21</v>
      </c>
      <c r="B23" s="5">
        <f>B22-Tabela2[[#This Row],[Amortização]]</f>
        <v>36290.897138541928</v>
      </c>
      <c r="C23" s="5">
        <f>Tabela2[[#This Row],[Prestação]]-Tabela2[[#This Row],[Juros]]</f>
        <v>3835.3500284241563</v>
      </c>
      <c r="D23" s="5">
        <f t="shared" si="0"/>
        <v>401.2624716696609</v>
      </c>
      <c r="E23" s="5">
        <f t="shared" si="1"/>
        <v>4236.6125000938173</v>
      </c>
    </row>
    <row r="24" spans="1:5" x14ac:dyDescent="0.25">
      <c r="A24" s="4">
        <v>22</v>
      </c>
      <c r="B24" s="5">
        <f>B23-Tabela2[[#This Row],[Amortização]]</f>
        <v>32417.193609833528</v>
      </c>
      <c r="C24" s="5">
        <f>Tabela2[[#This Row],[Prestação]]-Tabela2[[#This Row],[Juros]]</f>
        <v>3873.7035287083982</v>
      </c>
      <c r="D24" s="5">
        <f t="shared" si="0"/>
        <v>362.90897138541931</v>
      </c>
      <c r="E24" s="5">
        <f t="shared" si="1"/>
        <v>4236.6125000938173</v>
      </c>
    </row>
    <row r="25" spans="1:5" x14ac:dyDescent="0.25">
      <c r="A25" s="4">
        <v>23</v>
      </c>
      <c r="B25" s="5">
        <f>B24-Tabela2[[#This Row],[Amortização]]</f>
        <v>28504.753045838046</v>
      </c>
      <c r="C25" s="5">
        <f>Tabela2[[#This Row],[Prestação]]-Tabela2[[#This Row],[Juros]]</f>
        <v>3912.4405639954821</v>
      </c>
      <c r="D25" s="5">
        <f t="shared" si="0"/>
        <v>324.17193609833527</v>
      </c>
      <c r="E25" s="5">
        <f t="shared" si="1"/>
        <v>4236.6125000938173</v>
      </c>
    </row>
    <row r="26" spans="1:5" x14ac:dyDescent="0.25">
      <c r="A26" s="4">
        <v>24</v>
      </c>
      <c r="B26" s="5">
        <f>B25-Tabela2[[#This Row],[Amortização]]</f>
        <v>24553.188076202608</v>
      </c>
      <c r="C26" s="5">
        <f>Tabela2[[#This Row],[Prestação]]-Tabela2[[#This Row],[Juros]]</f>
        <v>3951.5649696354367</v>
      </c>
      <c r="D26" s="5">
        <f t="shared" si="0"/>
        <v>285.04753045838049</v>
      </c>
      <c r="E26" s="5">
        <f t="shared" si="1"/>
        <v>4236.6125000938173</v>
      </c>
    </row>
    <row r="27" spans="1:5" x14ac:dyDescent="0.25">
      <c r="A27" s="4">
        <v>25</v>
      </c>
      <c r="B27" s="5">
        <f>B26-Tabela2[[#This Row],[Amortização]]</f>
        <v>20562.107456870817</v>
      </c>
      <c r="C27" s="5">
        <f>Tabela2[[#This Row],[Prestação]]-Tabela2[[#This Row],[Juros]]</f>
        <v>3991.0806193317912</v>
      </c>
      <c r="D27" s="5">
        <f t="shared" ref="D27:D32" si="2">B26*0.01</f>
        <v>245.53188076202608</v>
      </c>
      <c r="E27" s="5">
        <f t="shared" si="1"/>
        <v>4236.6125000938173</v>
      </c>
    </row>
    <row r="28" spans="1:5" x14ac:dyDescent="0.25">
      <c r="A28" s="4">
        <v>26</v>
      </c>
      <c r="B28" s="5">
        <f>B27-Tabela2[[#This Row],[Amortização]]</f>
        <v>16531.116031345708</v>
      </c>
      <c r="C28" s="5">
        <f>Tabela2[[#This Row],[Prestação]]-Tabela2[[#This Row],[Juros]]</f>
        <v>4030.9914255251092</v>
      </c>
      <c r="D28" s="5">
        <f t="shared" si="2"/>
        <v>205.62107456870817</v>
      </c>
      <c r="E28" s="5">
        <f t="shared" si="1"/>
        <v>4236.6125000938173</v>
      </c>
    </row>
    <row r="29" spans="1:5" x14ac:dyDescent="0.25">
      <c r="A29" s="4">
        <v>27</v>
      </c>
      <c r="B29" s="5">
        <f>B28-Tabela2[[#This Row],[Amortização]]</f>
        <v>12459.814691565347</v>
      </c>
      <c r="C29" s="5">
        <f>Tabela2[[#This Row],[Prestação]]-Tabela2[[#This Row],[Juros]]</f>
        <v>4071.3013397803602</v>
      </c>
      <c r="D29" s="5">
        <f t="shared" si="2"/>
        <v>165.31116031345707</v>
      </c>
      <c r="E29" s="5">
        <f t="shared" si="1"/>
        <v>4236.6125000938173</v>
      </c>
    </row>
    <row r="30" spans="1:5" x14ac:dyDescent="0.25">
      <c r="A30" s="4">
        <v>28</v>
      </c>
      <c r="B30" s="5">
        <f>B29-Tabela2[[#This Row],[Amortização]]</f>
        <v>8347.8003383871837</v>
      </c>
      <c r="C30" s="5">
        <f>Tabela2[[#This Row],[Prestação]]-Tabela2[[#This Row],[Juros]]</f>
        <v>4112.0143531781641</v>
      </c>
      <c r="D30" s="5">
        <f t="shared" si="2"/>
        <v>124.59814691565347</v>
      </c>
      <c r="E30" s="5">
        <f t="shared" si="1"/>
        <v>4236.6125000938173</v>
      </c>
    </row>
    <row r="31" spans="1:5" x14ac:dyDescent="0.25">
      <c r="A31" s="4">
        <v>29</v>
      </c>
      <c r="B31" s="5">
        <f>B30-Tabela2[[#This Row],[Amortização]]</f>
        <v>4194.6658416772379</v>
      </c>
      <c r="C31" s="5">
        <f>Tabela2[[#This Row],[Prestação]]-Tabela2[[#This Row],[Juros]]</f>
        <v>4153.1344967099458</v>
      </c>
      <c r="D31" s="5">
        <f t="shared" si="2"/>
        <v>83.478003383871837</v>
      </c>
      <c r="E31" s="5">
        <f t="shared" si="1"/>
        <v>4236.6125000938173</v>
      </c>
    </row>
    <row r="32" spans="1:5" x14ac:dyDescent="0.25">
      <c r="A32" s="4">
        <v>30</v>
      </c>
      <c r="B32" s="5">
        <f>B31-Tabela2[[#This Row],[Amortização]]</f>
        <v>1.9281287677586079E-10</v>
      </c>
      <c r="C32" s="5">
        <f>Tabela2[[#This Row],[Prestação]]-Tabela2[[#This Row],[Juros]]</f>
        <v>4194.6658416770451</v>
      </c>
      <c r="D32" s="5">
        <f t="shared" si="2"/>
        <v>41.946658416772379</v>
      </c>
      <c r="E32" s="5">
        <f t="shared" si="1"/>
        <v>4236.6125000938173</v>
      </c>
    </row>
    <row r="33" spans="1:5" x14ac:dyDescent="0.25">
      <c r="A33" s="4"/>
      <c r="B33" s="5"/>
      <c r="C33" s="5">
        <f>SUBTOTAL(109,Tabela2[Amortização])</f>
        <v>89999.999999999811</v>
      </c>
      <c r="D33" s="5">
        <f>SUBTOTAL(109,Tabela2[Juros])</f>
        <v>17078.700002251793</v>
      </c>
      <c r="E33" s="5">
        <f>SUBTOTAL(109,Tabela2[Prestação])</f>
        <v>101678.70000225164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DD20-3307-462E-BF92-4DAEC6F7841D}">
  <dimension ref="A1:E15"/>
  <sheetViews>
    <sheetView workbookViewId="0">
      <selection activeCell="E15" sqref="A1:E15"/>
    </sheetView>
  </sheetViews>
  <sheetFormatPr defaultRowHeight="15" x14ac:dyDescent="0.25"/>
  <cols>
    <col min="1" max="1" width="12.5703125" bestFit="1" customWidth="1"/>
    <col min="2" max="2" width="18.85546875" bestFit="1" customWidth="1"/>
    <col min="3" max="3" width="16.5703125" bestFit="1" customWidth="1"/>
    <col min="4" max="4" width="11.85546875" bestFit="1" customWidth="1"/>
    <col min="5" max="5" width="14.42578125" bestFit="1" customWidth="1"/>
    <col min="7" max="7" width="10.710937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4">
        <v>0</v>
      </c>
      <c r="B2" s="5">
        <v>10000</v>
      </c>
      <c r="C2" s="5">
        <v>0</v>
      </c>
      <c r="D2" s="5">
        <v>0</v>
      </c>
      <c r="E2" s="5">
        <v>0</v>
      </c>
    </row>
    <row r="3" spans="1:5" x14ac:dyDescent="0.25">
      <c r="A3" s="4">
        <v>1</v>
      </c>
      <c r="B3" s="5">
        <f>B2+Tabela3[[#This Row],[Juros]]</f>
        <v>10600</v>
      </c>
      <c r="C3" s="5">
        <v>0</v>
      </c>
      <c r="D3" s="5">
        <f>B2*0.06</f>
        <v>600</v>
      </c>
      <c r="E3" s="5">
        <v>0</v>
      </c>
    </row>
    <row r="4" spans="1:5" x14ac:dyDescent="0.25">
      <c r="A4" s="4">
        <v>2</v>
      </c>
      <c r="B4" s="5">
        <f>B3+Tabela3[[#This Row],[Juros]]</f>
        <v>11236</v>
      </c>
      <c r="C4" s="5">
        <v>0</v>
      </c>
      <c r="D4" s="5">
        <f>B3*0.06</f>
        <v>636</v>
      </c>
      <c r="E4" s="5">
        <v>0</v>
      </c>
    </row>
    <row r="5" spans="1:5" x14ac:dyDescent="0.25">
      <c r="A5" s="4">
        <v>3</v>
      </c>
      <c r="B5" s="5">
        <f>B4-Tabela3[[#This Row],[Amortização]]</f>
        <v>10112.4</v>
      </c>
      <c r="C5" s="5">
        <f>$B$4/10</f>
        <v>1123.5999999999999</v>
      </c>
      <c r="D5" s="5">
        <f>B4*0.06</f>
        <v>674.16</v>
      </c>
      <c r="E5" s="5">
        <f>Tabela3[[#This Row],[Amortização]]+Tabela3[[#This Row],[Juros]]</f>
        <v>1797.7599999999998</v>
      </c>
    </row>
    <row r="6" spans="1:5" x14ac:dyDescent="0.25">
      <c r="A6" s="4">
        <v>4</v>
      </c>
      <c r="B6" s="5">
        <f>B5-Tabela3[[#This Row],[Amortização]]</f>
        <v>8988.7999999999993</v>
      </c>
      <c r="C6" s="5">
        <f t="shared" ref="C6:C14" si="0">$B$4/10</f>
        <v>1123.5999999999999</v>
      </c>
      <c r="D6" s="5">
        <f t="shared" ref="D6:D13" si="1">B5*0.06</f>
        <v>606.74399999999991</v>
      </c>
      <c r="E6" s="5">
        <f>Tabela3[[#This Row],[Amortização]]+Tabela3[[#This Row],[Juros]]</f>
        <v>1730.3439999999998</v>
      </c>
    </row>
    <row r="7" spans="1:5" x14ac:dyDescent="0.25">
      <c r="A7" s="4">
        <v>5</v>
      </c>
      <c r="B7" s="5">
        <f>B6-Tabela3[[#This Row],[Amortização]]</f>
        <v>7865.1999999999989</v>
      </c>
      <c r="C7" s="5">
        <f t="shared" si="0"/>
        <v>1123.5999999999999</v>
      </c>
      <c r="D7" s="5">
        <f t="shared" si="1"/>
        <v>539.32799999999997</v>
      </c>
      <c r="E7" s="5">
        <f>Tabela3[[#This Row],[Amortização]]+Tabela3[[#This Row],[Juros]]</f>
        <v>1662.9279999999999</v>
      </c>
    </row>
    <row r="8" spans="1:5" x14ac:dyDescent="0.25">
      <c r="A8" s="4">
        <v>6</v>
      </c>
      <c r="B8" s="5">
        <f>B7-Tabela3[[#This Row],[Amortização]]</f>
        <v>6741.5999999999985</v>
      </c>
      <c r="C8" s="5">
        <f t="shared" si="0"/>
        <v>1123.5999999999999</v>
      </c>
      <c r="D8" s="5">
        <f t="shared" si="1"/>
        <v>471.91199999999992</v>
      </c>
      <c r="E8" s="5">
        <f>Tabela3[[#This Row],[Amortização]]+Tabela3[[#This Row],[Juros]]</f>
        <v>1595.5119999999997</v>
      </c>
    </row>
    <row r="9" spans="1:5" x14ac:dyDescent="0.25">
      <c r="A9" s="4">
        <v>7</v>
      </c>
      <c r="B9" s="5">
        <f>B8-Tabela3[[#This Row],[Amortização]]</f>
        <v>5617.9999999999982</v>
      </c>
      <c r="C9" s="5">
        <f t="shared" si="0"/>
        <v>1123.5999999999999</v>
      </c>
      <c r="D9" s="5">
        <f t="shared" si="1"/>
        <v>404.49599999999992</v>
      </c>
      <c r="E9" s="5">
        <f>Tabela3[[#This Row],[Amortização]]+Tabela3[[#This Row],[Juros]]</f>
        <v>1528.0959999999998</v>
      </c>
    </row>
    <row r="10" spans="1:5" x14ac:dyDescent="0.25">
      <c r="A10" s="4">
        <v>8</v>
      </c>
      <c r="B10" s="5">
        <f>B9-Tabela3[[#This Row],[Amortização]]</f>
        <v>4494.3999999999978</v>
      </c>
      <c r="C10" s="5">
        <f t="shared" si="0"/>
        <v>1123.5999999999999</v>
      </c>
      <c r="D10" s="5">
        <f>B9*0.06</f>
        <v>337.07999999999987</v>
      </c>
      <c r="E10" s="5">
        <f>Tabela3[[#This Row],[Amortização]]+Tabela3[[#This Row],[Juros]]</f>
        <v>1460.6799999999998</v>
      </c>
    </row>
    <row r="11" spans="1:5" x14ac:dyDescent="0.25">
      <c r="A11" s="4">
        <v>9</v>
      </c>
      <c r="B11" s="5">
        <f>B10-Tabela3[[#This Row],[Amortização]]</f>
        <v>3370.7999999999979</v>
      </c>
      <c r="C11" s="5">
        <f t="shared" si="0"/>
        <v>1123.5999999999999</v>
      </c>
      <c r="D11" s="5">
        <f t="shared" si="1"/>
        <v>269.66399999999987</v>
      </c>
      <c r="E11" s="5">
        <f>Tabela3[[#This Row],[Amortização]]+Tabela3[[#This Row],[Juros]]</f>
        <v>1393.2639999999997</v>
      </c>
    </row>
    <row r="12" spans="1:5" x14ac:dyDescent="0.25">
      <c r="A12" s="4">
        <v>10</v>
      </c>
      <c r="B12" s="5">
        <f>B11-Tabela3[[#This Row],[Amortização]]</f>
        <v>2247.199999999998</v>
      </c>
      <c r="C12" s="5">
        <f t="shared" si="0"/>
        <v>1123.5999999999999</v>
      </c>
      <c r="D12" s="5">
        <f t="shared" si="1"/>
        <v>202.24799999999988</v>
      </c>
      <c r="E12" s="5">
        <f>Tabela3[[#This Row],[Amortização]]+Tabela3[[#This Row],[Juros]]</f>
        <v>1325.8479999999997</v>
      </c>
    </row>
    <row r="13" spans="1:5" x14ac:dyDescent="0.25">
      <c r="A13" s="4">
        <v>11</v>
      </c>
      <c r="B13" s="5">
        <f>B12-Tabela3[[#This Row],[Amortização]]</f>
        <v>1123.5999999999981</v>
      </c>
      <c r="C13" s="5">
        <f t="shared" si="0"/>
        <v>1123.5999999999999</v>
      </c>
      <c r="D13" s="5">
        <f t="shared" si="1"/>
        <v>134.83199999999988</v>
      </c>
      <c r="E13" s="5">
        <f>Tabela3[[#This Row],[Amortização]]+Tabela3[[#This Row],[Juros]]</f>
        <v>1258.4319999999998</v>
      </c>
    </row>
    <row r="14" spans="1:5" x14ac:dyDescent="0.25">
      <c r="A14" s="4">
        <v>12</v>
      </c>
      <c r="B14" s="5">
        <f>B13-Tabela3[[#This Row],[Amortização]]</f>
        <v>-1.8189894035458565E-12</v>
      </c>
      <c r="C14" s="5">
        <f t="shared" si="0"/>
        <v>1123.5999999999999</v>
      </c>
      <c r="D14" s="5">
        <f>B13*0.06</f>
        <v>67.415999999999883</v>
      </c>
      <c r="E14" s="5">
        <f>Tabela3[[#This Row],[Amortização]]+Tabela3[[#This Row],[Juros]]</f>
        <v>1191.0159999999998</v>
      </c>
    </row>
    <row r="15" spans="1:5" x14ac:dyDescent="0.25">
      <c r="A15" s="4"/>
      <c r="B15" s="5"/>
      <c r="C15" s="5">
        <f>SUBTOTAL(109,Tabela3[Amortização])</f>
        <v>11236.000000000002</v>
      </c>
      <c r="D15" s="5">
        <f>SUM(D5:D14)</f>
        <v>3707.8799999999992</v>
      </c>
      <c r="E15" s="5">
        <f>SUBTOTAL(109,Tabela3[Prestação])</f>
        <v>14943.879999999997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1FD6-AB6C-4910-91A1-4592F4C8A8AF}">
  <dimension ref="A1:N39"/>
  <sheetViews>
    <sheetView zoomScale="85" zoomScaleNormal="85" workbookViewId="0">
      <selection activeCell="N4" sqref="N4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2" bestFit="1" customWidth="1"/>
    <col min="4" max="5" width="11.85546875" bestFit="1" customWidth="1"/>
    <col min="7" max="7" width="8" bestFit="1" customWidth="1"/>
    <col min="8" max="8" width="14.28515625" bestFit="1" customWidth="1"/>
    <col min="9" max="9" width="12" bestFit="1" customWidth="1"/>
    <col min="10" max="11" width="11.85546875" bestFit="1" customWidth="1"/>
    <col min="12" max="12" width="12.85546875" customWidth="1"/>
    <col min="13" max="13" width="19.5703125" customWidth="1"/>
    <col min="14" max="14" width="18.42578125" bestFit="1" customWidth="1"/>
  </cols>
  <sheetData>
    <row r="1" spans="1:14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4" t="s">
        <v>0</v>
      </c>
      <c r="H1" s="5" t="s">
        <v>1</v>
      </c>
      <c r="I1" s="5" t="s">
        <v>2</v>
      </c>
      <c r="J1" s="5" t="s">
        <v>3</v>
      </c>
      <c r="K1" s="5" t="s">
        <v>4</v>
      </c>
    </row>
    <row r="2" spans="1:14" x14ac:dyDescent="0.25">
      <c r="A2" s="4">
        <v>0</v>
      </c>
      <c r="B2" s="5">
        <v>40000</v>
      </c>
      <c r="C2" s="5">
        <v>0</v>
      </c>
      <c r="D2" s="5">
        <v>0</v>
      </c>
      <c r="E2" s="5">
        <v>0</v>
      </c>
      <c r="G2" s="4">
        <v>0</v>
      </c>
      <c r="H2" s="5">
        <v>40000</v>
      </c>
      <c r="I2" s="5">
        <v>0</v>
      </c>
      <c r="J2" s="5">
        <v>0</v>
      </c>
      <c r="K2" s="5">
        <v>0</v>
      </c>
      <c r="M2" t="s">
        <v>5</v>
      </c>
      <c r="N2">
        <v>1569.31</v>
      </c>
    </row>
    <row r="3" spans="1:14" x14ac:dyDescent="0.25">
      <c r="A3" s="4">
        <v>1</v>
      </c>
      <c r="B3" s="5">
        <f>B2-Tabela35[[#This Row],[Amortização]]</f>
        <v>38888.888888888891</v>
      </c>
      <c r="C3" s="5">
        <f>$B$2/36</f>
        <v>1111.1111111111111</v>
      </c>
      <c r="D3" s="5">
        <f>B2*0.02</f>
        <v>800</v>
      </c>
      <c r="E3" s="5">
        <f>Tabela35[[#This Row],[Amortização]]+Tabela35[[#This Row],[Juros]]</f>
        <v>1911.1111111111111</v>
      </c>
      <c r="G3" s="4">
        <v>1</v>
      </c>
      <c r="H3" s="5">
        <f>H2-Tabela16[[#This Row],[Amortização]]</f>
        <v>39230.685896088071</v>
      </c>
      <c r="I3" s="5">
        <f>Tabela16[[#This Row],[Prestação]]-Tabela16[[#This Row],[Juros]]</f>
        <v>769.31410391192662</v>
      </c>
      <c r="J3" s="5">
        <f>H2*0.02</f>
        <v>800</v>
      </c>
      <c r="K3" s="5">
        <f>$H$2 * (((1+0.02)^36)*0.02)/(((1+0.02)^36)-1)</f>
        <v>1569.3141039119266</v>
      </c>
      <c r="M3" t="s">
        <v>6</v>
      </c>
      <c r="N3">
        <v>1600</v>
      </c>
    </row>
    <row r="4" spans="1:14" x14ac:dyDescent="0.25">
      <c r="A4" s="4">
        <v>2</v>
      </c>
      <c r="B4" s="5">
        <f>B3-Tabela35[[#This Row],[Amortização]]</f>
        <v>37777.777777777781</v>
      </c>
      <c r="C4" s="5">
        <f t="shared" ref="C4:C38" si="0">$B$2/36</f>
        <v>1111.1111111111111</v>
      </c>
      <c r="D4" s="5">
        <f t="shared" ref="D4:D38" si="1">B3*0.02</f>
        <v>777.77777777777783</v>
      </c>
      <c r="E4" s="5">
        <f>Tabela35[[#This Row],[Amortização]]+Tabela35[[#This Row],[Juros]]</f>
        <v>1888.8888888888889</v>
      </c>
      <c r="G4" s="4">
        <v>2</v>
      </c>
      <c r="H4" s="5">
        <f>H3-Tabela16[[#This Row],[Amortização]]</f>
        <v>38445.985510097904</v>
      </c>
      <c r="I4" s="5">
        <f>Tabela16[[#This Row],[Prestação]]-Tabela16[[#This Row],[Juros]]</f>
        <v>784.70038599016516</v>
      </c>
      <c r="J4" s="5">
        <f t="shared" ref="J4:J38" si="2">H3*0.02</f>
        <v>784.61371792176146</v>
      </c>
      <c r="K4" s="5">
        <f t="shared" ref="K4:K38" si="3">$H$2 * (((1+0.02)^36)*0.02)/(((1+0.02)^36)-1)</f>
        <v>1569.3141039119266</v>
      </c>
      <c r="M4" t="s">
        <v>7</v>
      </c>
      <c r="N4" t="s">
        <v>8</v>
      </c>
    </row>
    <row r="5" spans="1:14" x14ac:dyDescent="0.25">
      <c r="A5" s="4">
        <v>3</v>
      </c>
      <c r="B5" s="5">
        <f>B4-Tabela35[[#This Row],[Amortização]]</f>
        <v>36666.666666666672</v>
      </c>
      <c r="C5" s="5">
        <f t="shared" si="0"/>
        <v>1111.1111111111111</v>
      </c>
      <c r="D5" s="5">
        <f t="shared" si="1"/>
        <v>755.55555555555566</v>
      </c>
      <c r="E5" s="5">
        <f>Tabela35[[#This Row],[Amortização]]+Tabela35[[#This Row],[Juros]]</f>
        <v>1866.6666666666667</v>
      </c>
      <c r="G5" s="4">
        <v>3</v>
      </c>
      <c r="H5" s="5">
        <f>H4-Tabela16[[#This Row],[Amortização]]</f>
        <v>37645.591116387935</v>
      </c>
      <c r="I5" s="5">
        <f>Tabela16[[#This Row],[Prestação]]-Tabela16[[#This Row],[Juros]]</f>
        <v>800.39439370996854</v>
      </c>
      <c r="J5" s="5">
        <f t="shared" si="2"/>
        <v>768.91971020195808</v>
      </c>
      <c r="K5" s="5">
        <f t="shared" si="3"/>
        <v>1569.3141039119266</v>
      </c>
    </row>
    <row r="6" spans="1:14" x14ac:dyDescent="0.25">
      <c r="A6" s="4">
        <v>4</v>
      </c>
      <c r="B6" s="5">
        <f>B5-Tabela35[[#This Row],[Amortização]]</f>
        <v>35555.555555555562</v>
      </c>
      <c r="C6" s="5">
        <f t="shared" si="0"/>
        <v>1111.1111111111111</v>
      </c>
      <c r="D6" s="5">
        <f t="shared" si="1"/>
        <v>733.33333333333348</v>
      </c>
      <c r="E6" s="5">
        <f>Tabela35[[#This Row],[Amortização]]+Tabela35[[#This Row],[Juros]]</f>
        <v>1844.4444444444446</v>
      </c>
      <c r="G6" s="4">
        <v>4</v>
      </c>
      <c r="H6" s="5">
        <f>H5-Tabela16[[#This Row],[Amortização]]</f>
        <v>36829.188834803768</v>
      </c>
      <c r="I6" s="5">
        <f>Tabela16[[#This Row],[Prestação]]-Tabela16[[#This Row],[Juros]]</f>
        <v>816.40228158416789</v>
      </c>
      <c r="J6" s="5">
        <f t="shared" si="2"/>
        <v>752.91182232775873</v>
      </c>
      <c r="K6" s="5">
        <f t="shared" si="3"/>
        <v>1569.3141039119266</v>
      </c>
    </row>
    <row r="7" spans="1:14" x14ac:dyDescent="0.25">
      <c r="A7" s="4">
        <v>5</v>
      </c>
      <c r="B7" s="5">
        <f>B6-Tabela35[[#This Row],[Amortização]]</f>
        <v>34444.444444444453</v>
      </c>
      <c r="C7" s="5">
        <f t="shared" si="0"/>
        <v>1111.1111111111111</v>
      </c>
      <c r="D7" s="5">
        <f t="shared" si="1"/>
        <v>711.1111111111112</v>
      </c>
      <c r="E7" s="5">
        <f>Tabela35[[#This Row],[Amortização]]+Tabela35[[#This Row],[Juros]]</f>
        <v>1822.2222222222222</v>
      </c>
      <c r="G7" s="4">
        <v>5</v>
      </c>
      <c r="H7" s="5">
        <f>H6-Tabela16[[#This Row],[Amortização]]</f>
        <v>35996.458507587915</v>
      </c>
      <c r="I7" s="5">
        <f>Tabela16[[#This Row],[Prestação]]-Tabela16[[#This Row],[Juros]]</f>
        <v>832.73032721585128</v>
      </c>
      <c r="J7" s="5">
        <f t="shared" si="2"/>
        <v>736.58377669607535</v>
      </c>
      <c r="K7" s="5">
        <f t="shared" si="3"/>
        <v>1569.3141039119266</v>
      </c>
    </row>
    <row r="8" spans="1:14" x14ac:dyDescent="0.25">
      <c r="A8" s="4">
        <v>6</v>
      </c>
      <c r="B8" s="5">
        <f>B7-Tabela35[[#This Row],[Amortização]]</f>
        <v>33333.333333333343</v>
      </c>
      <c r="C8" s="5">
        <f t="shared" si="0"/>
        <v>1111.1111111111111</v>
      </c>
      <c r="D8" s="5">
        <f t="shared" si="1"/>
        <v>688.88888888888903</v>
      </c>
      <c r="E8" s="5">
        <f>Tabela35[[#This Row],[Amortização]]+Tabela35[[#This Row],[Juros]]</f>
        <v>1800</v>
      </c>
      <c r="G8" s="4">
        <v>6</v>
      </c>
      <c r="H8" s="5">
        <f>H7-Tabela16[[#This Row],[Amortização]]</f>
        <v>35147.073573827744</v>
      </c>
      <c r="I8" s="5">
        <f>Tabela16[[#This Row],[Prestação]]-Tabela16[[#This Row],[Juros]]</f>
        <v>849.38493376016834</v>
      </c>
      <c r="J8" s="5">
        <f t="shared" si="2"/>
        <v>719.92917015175829</v>
      </c>
      <c r="K8" s="5">
        <f t="shared" si="3"/>
        <v>1569.3141039119266</v>
      </c>
    </row>
    <row r="9" spans="1:14" x14ac:dyDescent="0.25">
      <c r="A9" s="4">
        <v>7</v>
      </c>
      <c r="B9" s="5">
        <f>B8-Tabela35[[#This Row],[Amortização]]</f>
        <v>32222.222222222234</v>
      </c>
      <c r="C9" s="5">
        <f t="shared" si="0"/>
        <v>1111.1111111111111</v>
      </c>
      <c r="D9" s="5">
        <f t="shared" si="1"/>
        <v>666.66666666666686</v>
      </c>
      <c r="E9" s="5">
        <f>Tabela35[[#This Row],[Amortização]]+Tabela35[[#This Row],[Juros]]</f>
        <v>1777.7777777777778</v>
      </c>
      <c r="G9" s="4">
        <v>7</v>
      </c>
      <c r="H9" s="5">
        <f>H8-Tabela16[[#This Row],[Amortização]]</f>
        <v>34280.700941392373</v>
      </c>
      <c r="I9" s="5">
        <f>Tabela16[[#This Row],[Prestação]]-Tabela16[[#This Row],[Juros]]</f>
        <v>866.37263243537177</v>
      </c>
      <c r="J9" s="5">
        <f t="shared" si="2"/>
        <v>702.94147147655485</v>
      </c>
      <c r="K9" s="5">
        <f t="shared" si="3"/>
        <v>1569.3141039119266</v>
      </c>
    </row>
    <row r="10" spans="1:14" x14ac:dyDescent="0.25">
      <c r="A10" s="4">
        <v>8</v>
      </c>
      <c r="B10" s="5">
        <f>B9-Tabela35[[#This Row],[Amortização]]</f>
        <v>31111.111111111124</v>
      </c>
      <c r="C10" s="5">
        <f t="shared" si="0"/>
        <v>1111.1111111111111</v>
      </c>
      <c r="D10" s="5">
        <f t="shared" si="1"/>
        <v>644.44444444444468</v>
      </c>
      <c r="E10" s="5">
        <f>Tabela35[[#This Row],[Amortização]]+Tabela35[[#This Row],[Juros]]</f>
        <v>1755.5555555555557</v>
      </c>
      <c r="G10" s="4">
        <v>8</v>
      </c>
      <c r="H10" s="5">
        <f>H9-Tabela16[[#This Row],[Amortização]]</f>
        <v>33397.000856308296</v>
      </c>
      <c r="I10" s="5">
        <f>Tabela16[[#This Row],[Prestação]]-Tabela16[[#This Row],[Juros]]</f>
        <v>883.70008508407909</v>
      </c>
      <c r="J10" s="5">
        <f t="shared" si="2"/>
        <v>685.61401882784753</v>
      </c>
      <c r="K10" s="5">
        <f t="shared" si="3"/>
        <v>1569.3141039119266</v>
      </c>
    </row>
    <row r="11" spans="1:14" x14ac:dyDescent="0.25">
      <c r="A11" s="4">
        <v>9</v>
      </c>
      <c r="B11" s="5">
        <f>B10-Tabela35[[#This Row],[Amortização]]</f>
        <v>30000.000000000015</v>
      </c>
      <c r="C11" s="5">
        <f t="shared" si="0"/>
        <v>1111.1111111111111</v>
      </c>
      <c r="D11" s="5">
        <f t="shared" si="1"/>
        <v>622.22222222222251</v>
      </c>
      <c r="E11" s="5">
        <f>Tabela35[[#This Row],[Amortização]]+Tabela35[[#This Row],[Juros]]</f>
        <v>1733.3333333333335</v>
      </c>
      <c r="G11" s="4">
        <v>9</v>
      </c>
      <c r="H11" s="5">
        <f>H10-Tabela16[[#This Row],[Amortização]]</f>
        <v>32495.626769522536</v>
      </c>
      <c r="I11" s="5">
        <f>Tabela16[[#This Row],[Prestação]]-Tabela16[[#This Row],[Juros]]</f>
        <v>901.37408678576071</v>
      </c>
      <c r="J11" s="5">
        <f t="shared" si="2"/>
        <v>667.94001712616591</v>
      </c>
      <c r="K11" s="5">
        <f t="shared" si="3"/>
        <v>1569.3141039119266</v>
      </c>
    </row>
    <row r="12" spans="1:14" x14ac:dyDescent="0.25">
      <c r="A12" s="4">
        <v>10</v>
      </c>
      <c r="B12" s="5">
        <f>B11-Tabela35[[#This Row],[Amortização]]</f>
        <v>28888.888888888905</v>
      </c>
      <c r="C12" s="5">
        <f t="shared" si="0"/>
        <v>1111.1111111111111</v>
      </c>
      <c r="D12" s="5">
        <f t="shared" si="1"/>
        <v>600.00000000000034</v>
      </c>
      <c r="E12" s="5">
        <f>Tabela35[[#This Row],[Amortização]]+Tabela35[[#This Row],[Juros]]</f>
        <v>1711.1111111111113</v>
      </c>
      <c r="G12" s="4">
        <v>10</v>
      </c>
      <c r="H12" s="5">
        <f>H11-Tabela16[[#This Row],[Amortização]]</f>
        <v>31576.22520100106</v>
      </c>
      <c r="I12" s="5">
        <f>Tabela16[[#This Row],[Prestação]]-Tabela16[[#This Row],[Juros]]</f>
        <v>919.40156852147584</v>
      </c>
      <c r="J12" s="5">
        <f t="shared" si="2"/>
        <v>649.91253539045078</v>
      </c>
      <c r="K12" s="5">
        <f t="shared" si="3"/>
        <v>1569.3141039119266</v>
      </c>
    </row>
    <row r="13" spans="1:14" x14ac:dyDescent="0.25">
      <c r="A13" s="4">
        <v>11</v>
      </c>
      <c r="B13" s="5">
        <f>B12-Tabela35[[#This Row],[Amortização]]</f>
        <v>27777.777777777796</v>
      </c>
      <c r="C13" s="5">
        <f t="shared" si="0"/>
        <v>1111.1111111111111</v>
      </c>
      <c r="D13" s="5">
        <f t="shared" si="1"/>
        <v>577.77777777777817</v>
      </c>
      <c r="E13" s="5">
        <f>Tabela35[[#This Row],[Amortização]]+Tabela35[[#This Row],[Juros]]</f>
        <v>1688.8888888888891</v>
      </c>
      <c r="G13" s="4">
        <v>11</v>
      </c>
      <c r="H13" s="5">
        <f>H12-Tabela16[[#This Row],[Amortização]]</f>
        <v>30638.435601109155</v>
      </c>
      <c r="I13" s="5">
        <f>Tabela16[[#This Row],[Prestação]]-Tabela16[[#This Row],[Juros]]</f>
        <v>937.78959989190537</v>
      </c>
      <c r="J13" s="5">
        <f t="shared" si="2"/>
        <v>631.52450402002125</v>
      </c>
      <c r="K13" s="5">
        <f t="shared" si="3"/>
        <v>1569.3141039119266</v>
      </c>
    </row>
    <row r="14" spans="1:14" x14ac:dyDescent="0.25">
      <c r="A14" s="4">
        <v>12</v>
      </c>
      <c r="B14" s="5">
        <f>B13-Tabela35[[#This Row],[Amortização]]</f>
        <v>26666.666666666686</v>
      </c>
      <c r="C14" s="5">
        <f t="shared" si="0"/>
        <v>1111.1111111111111</v>
      </c>
      <c r="D14" s="5">
        <f t="shared" si="1"/>
        <v>555.55555555555588</v>
      </c>
      <c r="E14" s="5">
        <f>Tabela35[[#This Row],[Amortização]]+Tabela35[[#This Row],[Juros]]</f>
        <v>1666.666666666667</v>
      </c>
      <c r="G14" s="4">
        <v>12</v>
      </c>
      <c r="H14" s="5">
        <f>H13-Tabela16[[#This Row],[Amortização]]</f>
        <v>29681.890209219411</v>
      </c>
      <c r="I14" s="5">
        <f>Tabela16[[#This Row],[Prestação]]-Tabela16[[#This Row],[Juros]]</f>
        <v>956.54539188974354</v>
      </c>
      <c r="J14" s="5">
        <f t="shared" si="2"/>
        <v>612.76871202218308</v>
      </c>
      <c r="K14" s="5">
        <f t="shared" si="3"/>
        <v>1569.3141039119266</v>
      </c>
    </row>
    <row r="15" spans="1:14" x14ac:dyDescent="0.25">
      <c r="A15" s="4">
        <v>13</v>
      </c>
      <c r="B15" s="5">
        <f>B14-Tabela35[[#This Row],[Amortização]]</f>
        <v>25555.555555555577</v>
      </c>
      <c r="C15" s="5">
        <f t="shared" si="0"/>
        <v>1111.1111111111111</v>
      </c>
      <c r="D15" s="5">
        <f t="shared" si="1"/>
        <v>533.33333333333371</v>
      </c>
      <c r="E15" s="5">
        <f>Tabela35[[#This Row],[Amortização]]+Tabela35[[#This Row],[Juros]]</f>
        <v>1644.4444444444448</v>
      </c>
      <c r="G15" s="4">
        <v>13</v>
      </c>
      <c r="H15" s="5">
        <f>H14-Tabela16[[#This Row],[Amortização]]</f>
        <v>28706.213909491871</v>
      </c>
      <c r="I15" s="5">
        <f>Tabela16[[#This Row],[Prestação]]-Tabela16[[#This Row],[Juros]]</f>
        <v>975.67629972753844</v>
      </c>
      <c r="J15" s="5">
        <f t="shared" si="2"/>
        <v>593.63780418438819</v>
      </c>
      <c r="K15" s="5">
        <f t="shared" si="3"/>
        <v>1569.3141039119266</v>
      </c>
    </row>
    <row r="16" spans="1:14" x14ac:dyDescent="0.25">
      <c r="A16" s="4">
        <v>14</v>
      </c>
      <c r="B16" s="5">
        <f>B15-Tabela35[[#This Row],[Amortização]]</f>
        <v>24444.444444444467</v>
      </c>
      <c r="C16" s="5">
        <f t="shared" si="0"/>
        <v>1111.1111111111111</v>
      </c>
      <c r="D16" s="5">
        <f t="shared" si="1"/>
        <v>511.11111111111154</v>
      </c>
      <c r="E16" s="5">
        <f>Tabela35[[#This Row],[Amortização]]+Tabela35[[#This Row],[Juros]]</f>
        <v>1622.2222222222226</v>
      </c>
      <c r="G16" s="4">
        <v>14</v>
      </c>
      <c r="H16" s="5">
        <f>H15-Tabela16[[#This Row],[Amortização]]</f>
        <v>27711.024083769782</v>
      </c>
      <c r="I16" s="5">
        <f>Tabela16[[#This Row],[Prestação]]-Tabela16[[#This Row],[Juros]]</f>
        <v>995.18982572208915</v>
      </c>
      <c r="J16" s="5">
        <f t="shared" si="2"/>
        <v>574.12427818983747</v>
      </c>
      <c r="K16" s="5">
        <f t="shared" si="3"/>
        <v>1569.3141039119266</v>
      </c>
    </row>
    <row r="17" spans="1:11" x14ac:dyDescent="0.25">
      <c r="A17" s="4">
        <v>15</v>
      </c>
      <c r="B17" s="5">
        <f>B16-Tabela35[[#This Row],[Amortização]]</f>
        <v>23333.333333333358</v>
      </c>
      <c r="C17" s="5">
        <f t="shared" si="0"/>
        <v>1111.1111111111111</v>
      </c>
      <c r="D17" s="5">
        <f t="shared" si="1"/>
        <v>488.88888888888937</v>
      </c>
      <c r="E17" s="5">
        <f>Tabela35[[#This Row],[Amortização]]+Tabela35[[#This Row],[Juros]]</f>
        <v>1600.0000000000005</v>
      </c>
      <c r="G17" s="4">
        <v>15</v>
      </c>
      <c r="H17" s="5">
        <f>H16-Tabela16[[#This Row],[Amortização]]</f>
        <v>26695.930461533251</v>
      </c>
      <c r="I17" s="5">
        <f>Tabela16[[#This Row],[Prestação]]-Tabela16[[#This Row],[Juros]]</f>
        <v>1015.093622236531</v>
      </c>
      <c r="J17" s="5">
        <f t="shared" si="2"/>
        <v>554.2204816753956</v>
      </c>
      <c r="K17" s="5">
        <f t="shared" si="3"/>
        <v>1569.3141039119266</v>
      </c>
    </row>
    <row r="18" spans="1:11" x14ac:dyDescent="0.25">
      <c r="A18" s="4">
        <v>16</v>
      </c>
      <c r="B18" s="5">
        <f>B17-Tabela35[[#This Row],[Amortização]]</f>
        <v>22222.222222222248</v>
      </c>
      <c r="C18" s="5">
        <f t="shared" si="0"/>
        <v>1111.1111111111111</v>
      </c>
      <c r="D18" s="5">
        <f t="shared" si="1"/>
        <v>466.66666666666714</v>
      </c>
      <c r="E18" s="5">
        <f>Tabela35[[#This Row],[Amortização]]+Tabela35[[#This Row],[Juros]]</f>
        <v>1577.7777777777783</v>
      </c>
      <c r="G18" s="4">
        <v>16</v>
      </c>
      <c r="H18" s="5">
        <f>H17-Tabela16[[#This Row],[Amortização]]</f>
        <v>25660.534966851988</v>
      </c>
      <c r="I18" s="5">
        <f>Tabela16[[#This Row],[Prestação]]-Tabela16[[#This Row],[Juros]]</f>
        <v>1035.3954946812614</v>
      </c>
      <c r="J18" s="5">
        <f t="shared" si="2"/>
        <v>533.91860923066508</v>
      </c>
      <c r="K18" s="5">
        <f t="shared" si="3"/>
        <v>1569.3141039119266</v>
      </c>
    </row>
    <row r="19" spans="1:11" x14ac:dyDescent="0.25">
      <c r="A19" s="4">
        <v>17</v>
      </c>
      <c r="B19" s="5">
        <f>B18-Tabela35[[#This Row],[Amortização]]</f>
        <v>21111.111111111139</v>
      </c>
      <c r="C19" s="5">
        <f t="shared" si="0"/>
        <v>1111.1111111111111</v>
      </c>
      <c r="D19" s="5">
        <f t="shared" si="1"/>
        <v>444.44444444444497</v>
      </c>
      <c r="E19" s="5">
        <f>Tabela35[[#This Row],[Amortização]]+Tabela35[[#This Row],[Juros]]</f>
        <v>1555.5555555555561</v>
      </c>
      <c r="G19" s="4">
        <v>17</v>
      </c>
      <c r="H19" s="5">
        <f>H18-Tabela16[[#This Row],[Amortização]]</f>
        <v>24604.431562277103</v>
      </c>
      <c r="I19" s="5">
        <f>Tabela16[[#This Row],[Prestação]]-Tabela16[[#This Row],[Juros]]</f>
        <v>1056.103404574887</v>
      </c>
      <c r="J19" s="5">
        <f t="shared" si="2"/>
        <v>513.21069933703973</v>
      </c>
      <c r="K19" s="5">
        <f t="shared" si="3"/>
        <v>1569.3141039119266</v>
      </c>
    </row>
    <row r="20" spans="1:11" x14ac:dyDescent="0.25">
      <c r="A20" s="4">
        <v>18</v>
      </c>
      <c r="B20" s="5">
        <f>B19-Tabela35[[#This Row],[Amortização]]</f>
        <v>20000.000000000029</v>
      </c>
      <c r="C20" s="5">
        <f t="shared" si="0"/>
        <v>1111.1111111111111</v>
      </c>
      <c r="D20" s="5">
        <f t="shared" si="1"/>
        <v>422.2222222222228</v>
      </c>
      <c r="E20" s="5">
        <f>Tabela35[[#This Row],[Amortização]]+Tabela35[[#This Row],[Juros]]</f>
        <v>1533.3333333333339</v>
      </c>
      <c r="G20" s="4">
        <v>18</v>
      </c>
      <c r="H20" s="5">
        <f>H19-Tabela16[[#This Row],[Amortização]]</f>
        <v>23527.206089610718</v>
      </c>
      <c r="I20" s="5">
        <f>Tabela16[[#This Row],[Prestação]]-Tabela16[[#This Row],[Juros]]</f>
        <v>1077.2254726663846</v>
      </c>
      <c r="J20" s="5">
        <f t="shared" si="2"/>
        <v>492.08863124554205</v>
      </c>
      <c r="K20" s="5">
        <f t="shared" si="3"/>
        <v>1569.3141039119266</v>
      </c>
    </row>
    <row r="21" spans="1:11" x14ac:dyDescent="0.25">
      <c r="A21" s="4">
        <v>19</v>
      </c>
      <c r="B21" s="5">
        <f>B20-Tabela35[[#This Row],[Amortização]]</f>
        <v>18888.88888888892</v>
      </c>
      <c r="C21" s="5">
        <f t="shared" si="0"/>
        <v>1111.1111111111111</v>
      </c>
      <c r="D21" s="5">
        <f t="shared" si="1"/>
        <v>400.00000000000057</v>
      </c>
      <c r="E21" s="5">
        <f>Tabela35[[#This Row],[Amortização]]+Tabela35[[#This Row],[Juros]]</f>
        <v>1511.1111111111118</v>
      </c>
      <c r="G21" s="4">
        <v>19</v>
      </c>
      <c r="H21" s="5">
        <f>H20-Tabela16[[#This Row],[Amortização]]</f>
        <v>22428.436107491005</v>
      </c>
      <c r="I21" s="5">
        <f>Tabela16[[#This Row],[Prestação]]-Tabela16[[#This Row],[Juros]]</f>
        <v>1098.7699821197123</v>
      </c>
      <c r="J21" s="5">
        <f t="shared" si="2"/>
        <v>470.54412179221436</v>
      </c>
      <c r="K21" s="5">
        <f t="shared" si="3"/>
        <v>1569.3141039119266</v>
      </c>
    </row>
    <row r="22" spans="1:11" x14ac:dyDescent="0.25">
      <c r="A22" s="4">
        <v>20</v>
      </c>
      <c r="B22" s="5">
        <f>B21-Tabela35[[#This Row],[Amortização]]</f>
        <v>17777.77777777781</v>
      </c>
      <c r="C22" s="5">
        <f t="shared" si="0"/>
        <v>1111.1111111111111</v>
      </c>
      <c r="D22" s="5">
        <f t="shared" si="1"/>
        <v>377.7777777777784</v>
      </c>
      <c r="E22" s="5">
        <f>Tabela35[[#This Row],[Amortização]]+Tabela35[[#This Row],[Juros]]</f>
        <v>1488.8888888888896</v>
      </c>
      <c r="G22" s="4">
        <v>20</v>
      </c>
      <c r="H22" s="5">
        <f>H21-Tabela16[[#This Row],[Amortização]]</f>
        <v>21307.690725728899</v>
      </c>
      <c r="I22" s="5">
        <f>Tabela16[[#This Row],[Prestação]]-Tabela16[[#This Row],[Juros]]</f>
        <v>1120.7453817621065</v>
      </c>
      <c r="J22" s="5">
        <f t="shared" si="2"/>
        <v>448.56872214982013</v>
      </c>
      <c r="K22" s="5">
        <f t="shared" si="3"/>
        <v>1569.3141039119266</v>
      </c>
    </row>
    <row r="23" spans="1:11" x14ac:dyDescent="0.25">
      <c r="A23" s="4">
        <v>21</v>
      </c>
      <c r="B23" s="5">
        <f>B22-Tabela35[[#This Row],[Amortização]]</f>
        <v>16666.666666666701</v>
      </c>
      <c r="C23" s="5">
        <f t="shared" si="0"/>
        <v>1111.1111111111111</v>
      </c>
      <c r="D23" s="5">
        <f t="shared" si="1"/>
        <v>355.55555555555623</v>
      </c>
      <c r="E23" s="5">
        <f>Tabela35[[#This Row],[Amortização]]+Tabela35[[#This Row],[Juros]]</f>
        <v>1466.6666666666674</v>
      </c>
      <c r="G23" s="4">
        <v>21</v>
      </c>
      <c r="H23" s="5">
        <f>H22-Tabela16[[#This Row],[Amortização]]</f>
        <v>20164.530436331552</v>
      </c>
      <c r="I23" s="5">
        <f>Tabela16[[#This Row],[Prestação]]-Tabela16[[#This Row],[Juros]]</f>
        <v>1143.1602893973486</v>
      </c>
      <c r="J23" s="5">
        <f t="shared" si="2"/>
        <v>426.15381451457796</v>
      </c>
      <c r="K23" s="5">
        <f t="shared" si="3"/>
        <v>1569.3141039119266</v>
      </c>
    </row>
    <row r="24" spans="1:11" x14ac:dyDescent="0.25">
      <c r="A24" s="4">
        <v>22</v>
      </c>
      <c r="B24" s="5">
        <f>B23-Tabela35[[#This Row],[Amortização]]</f>
        <v>15555.555555555589</v>
      </c>
      <c r="C24" s="5">
        <f t="shared" si="0"/>
        <v>1111.1111111111111</v>
      </c>
      <c r="D24" s="5">
        <f t="shared" si="1"/>
        <v>333.333333333334</v>
      </c>
      <c r="E24" s="5">
        <f>Tabela35[[#This Row],[Amortização]]+Tabela35[[#This Row],[Juros]]</f>
        <v>1444.444444444445</v>
      </c>
      <c r="G24" s="4">
        <v>22</v>
      </c>
      <c r="H24" s="5">
        <f>H23-Tabela16[[#This Row],[Amortização]]</f>
        <v>18998.506941146257</v>
      </c>
      <c r="I24" s="5">
        <f>Tabela16[[#This Row],[Prestação]]-Tabela16[[#This Row],[Juros]]</f>
        <v>1166.0234951852956</v>
      </c>
      <c r="J24" s="5">
        <f t="shared" si="2"/>
        <v>403.29060872663104</v>
      </c>
      <c r="K24" s="5">
        <f t="shared" si="3"/>
        <v>1569.3141039119266</v>
      </c>
    </row>
    <row r="25" spans="1:11" x14ac:dyDescent="0.25">
      <c r="A25" s="4">
        <v>23</v>
      </c>
      <c r="B25" s="5">
        <f>B24-Tabela35[[#This Row],[Amortização]]</f>
        <v>14444.444444444478</v>
      </c>
      <c r="C25" s="5">
        <f t="shared" si="0"/>
        <v>1111.1111111111111</v>
      </c>
      <c r="D25" s="5">
        <f t="shared" si="1"/>
        <v>311.11111111111177</v>
      </c>
      <c r="E25" s="5">
        <f>Tabela35[[#This Row],[Amortização]]+Tabela35[[#This Row],[Juros]]</f>
        <v>1422.2222222222229</v>
      </c>
      <c r="G25" s="4">
        <v>23</v>
      </c>
      <c r="H25" s="5">
        <f>H24-Tabela16[[#This Row],[Amortização]]</f>
        <v>17809.162976057254</v>
      </c>
      <c r="I25" s="5">
        <f>Tabela16[[#This Row],[Prestação]]-Tabela16[[#This Row],[Juros]]</f>
        <v>1189.3439650890014</v>
      </c>
      <c r="J25" s="5">
        <f t="shared" si="2"/>
        <v>379.97013882292515</v>
      </c>
      <c r="K25" s="5">
        <f t="shared" si="3"/>
        <v>1569.3141039119266</v>
      </c>
    </row>
    <row r="26" spans="1:11" x14ac:dyDescent="0.25">
      <c r="A26" s="4">
        <v>24</v>
      </c>
      <c r="B26" s="5">
        <f>B25-Tabela35[[#This Row],[Amortização]]</f>
        <v>13333.333333333367</v>
      </c>
      <c r="C26" s="5">
        <f t="shared" si="0"/>
        <v>1111.1111111111111</v>
      </c>
      <c r="D26" s="5">
        <f t="shared" si="1"/>
        <v>288.88888888888954</v>
      </c>
      <c r="E26" s="5">
        <f>Tabela35[[#This Row],[Amortização]]+Tabela35[[#This Row],[Juros]]</f>
        <v>1400.0000000000007</v>
      </c>
      <c r="G26" s="4">
        <v>24</v>
      </c>
      <c r="H26" s="5">
        <f>H25-Tabela16[[#This Row],[Amortização]]</f>
        <v>16596.032131666474</v>
      </c>
      <c r="I26" s="5">
        <f>Tabela16[[#This Row],[Prestação]]-Tabela16[[#This Row],[Juros]]</f>
        <v>1213.1308443907815</v>
      </c>
      <c r="J26" s="5">
        <f t="shared" si="2"/>
        <v>356.18325952114509</v>
      </c>
      <c r="K26" s="5">
        <f t="shared" si="3"/>
        <v>1569.3141039119266</v>
      </c>
    </row>
    <row r="27" spans="1:11" x14ac:dyDescent="0.25">
      <c r="A27" s="4">
        <v>25</v>
      </c>
      <c r="B27" s="5">
        <f>B26-Tabela35[[#This Row],[Amortização]]</f>
        <v>12222.222222222255</v>
      </c>
      <c r="C27" s="5">
        <f t="shared" si="0"/>
        <v>1111.1111111111111</v>
      </c>
      <c r="D27" s="5">
        <f t="shared" si="1"/>
        <v>266.66666666666731</v>
      </c>
      <c r="E27" s="5">
        <f>Tabela35[[#This Row],[Amortização]]+Tabela35[[#This Row],[Juros]]</f>
        <v>1377.7777777777783</v>
      </c>
      <c r="G27" s="4">
        <v>25</v>
      </c>
      <c r="H27" s="5">
        <f>H26-Tabela16[[#This Row],[Amortização]]</f>
        <v>15358.638670387876</v>
      </c>
      <c r="I27" s="5">
        <f>Tabela16[[#This Row],[Prestação]]-Tabela16[[#This Row],[Juros]]</f>
        <v>1237.3934612785972</v>
      </c>
      <c r="J27" s="5">
        <f t="shared" si="2"/>
        <v>331.92064263332946</v>
      </c>
      <c r="K27" s="5">
        <f t="shared" si="3"/>
        <v>1569.3141039119266</v>
      </c>
    </row>
    <row r="28" spans="1:11" x14ac:dyDescent="0.25">
      <c r="A28" s="4">
        <v>26</v>
      </c>
      <c r="B28" s="5">
        <f>B27-Tabela35[[#This Row],[Amortização]]</f>
        <v>11111.111111111144</v>
      </c>
      <c r="C28" s="5">
        <f t="shared" si="0"/>
        <v>1111.1111111111111</v>
      </c>
      <c r="D28" s="5">
        <f t="shared" si="1"/>
        <v>244.44444444444511</v>
      </c>
      <c r="E28" s="5">
        <f>Tabela35[[#This Row],[Amortização]]+Tabela35[[#This Row],[Juros]]</f>
        <v>1355.5555555555561</v>
      </c>
      <c r="G28" s="4">
        <v>26</v>
      </c>
      <c r="H28" s="5">
        <f>H27-Tabela16[[#This Row],[Amortização]]</f>
        <v>14096.497339883706</v>
      </c>
      <c r="I28" s="5">
        <f>Tabela16[[#This Row],[Prestação]]-Tabela16[[#This Row],[Juros]]</f>
        <v>1262.1413305041692</v>
      </c>
      <c r="J28" s="5">
        <f t="shared" si="2"/>
        <v>307.17277340775752</v>
      </c>
      <c r="K28" s="5">
        <f t="shared" si="3"/>
        <v>1569.3141039119266</v>
      </c>
    </row>
    <row r="29" spans="1:11" x14ac:dyDescent="0.25">
      <c r="A29" s="4">
        <v>27</v>
      </c>
      <c r="B29" s="5">
        <f>B28-Tabela35[[#This Row],[Amortização]]</f>
        <v>10000.000000000033</v>
      </c>
      <c r="C29" s="5">
        <f t="shared" si="0"/>
        <v>1111.1111111111111</v>
      </c>
      <c r="D29" s="5">
        <f t="shared" si="1"/>
        <v>222.22222222222288</v>
      </c>
      <c r="E29" s="5">
        <f>Tabela35[[#This Row],[Amortização]]+Tabela35[[#This Row],[Juros]]</f>
        <v>1333.3333333333339</v>
      </c>
      <c r="G29" s="4">
        <v>27</v>
      </c>
      <c r="H29" s="5">
        <f>H28-Tabela16[[#This Row],[Amortização]]</f>
        <v>12809.113182769453</v>
      </c>
      <c r="I29" s="5">
        <f>Tabela16[[#This Row],[Prestação]]-Tabela16[[#This Row],[Juros]]</f>
        <v>1287.3841571142525</v>
      </c>
      <c r="J29" s="5">
        <f t="shared" si="2"/>
        <v>281.92994679767412</v>
      </c>
      <c r="K29" s="5">
        <f t="shared" si="3"/>
        <v>1569.3141039119266</v>
      </c>
    </row>
    <row r="30" spans="1:11" x14ac:dyDescent="0.25">
      <c r="A30" s="4">
        <v>28</v>
      </c>
      <c r="B30" s="5">
        <f>B29-Tabela35[[#This Row],[Amortização]]</f>
        <v>8888.8888888889214</v>
      </c>
      <c r="C30" s="5">
        <f t="shared" si="0"/>
        <v>1111.1111111111111</v>
      </c>
      <c r="D30" s="5">
        <f t="shared" si="1"/>
        <v>200.00000000000065</v>
      </c>
      <c r="E30" s="5">
        <f>Tabela35[[#This Row],[Amortização]]+Tabela35[[#This Row],[Juros]]</f>
        <v>1311.1111111111118</v>
      </c>
      <c r="G30" s="4">
        <v>28</v>
      </c>
      <c r="H30" s="5">
        <f>H29-Tabela16[[#This Row],[Amortização]]</f>
        <v>11495.981342512916</v>
      </c>
      <c r="I30" s="5">
        <f>Tabela16[[#This Row],[Prestação]]-Tabela16[[#This Row],[Juros]]</f>
        <v>1313.1318402565375</v>
      </c>
      <c r="J30" s="5">
        <f t="shared" si="2"/>
        <v>256.18226365538908</v>
      </c>
      <c r="K30" s="5">
        <f t="shared" si="3"/>
        <v>1569.3141039119266</v>
      </c>
    </row>
    <row r="31" spans="1:11" x14ac:dyDescent="0.25">
      <c r="A31" s="4">
        <v>29</v>
      </c>
      <c r="B31" s="5">
        <f>B30-Tabela35[[#This Row],[Amortização]]</f>
        <v>7777.7777777778101</v>
      </c>
      <c r="C31" s="5">
        <f t="shared" si="0"/>
        <v>1111.1111111111111</v>
      </c>
      <c r="D31" s="5">
        <f t="shared" si="1"/>
        <v>177.77777777777843</v>
      </c>
      <c r="E31" s="5">
        <f>Tabela35[[#This Row],[Amortização]]+Tabela35[[#This Row],[Juros]]</f>
        <v>1288.8888888888896</v>
      </c>
      <c r="G31" s="4">
        <v>29</v>
      </c>
      <c r="H31" s="5">
        <f>H30-Tabela16[[#This Row],[Amortização]]</f>
        <v>10156.586865451247</v>
      </c>
      <c r="I31" s="5">
        <f>Tabela16[[#This Row],[Prestação]]-Tabela16[[#This Row],[Juros]]</f>
        <v>1339.3944770616683</v>
      </c>
      <c r="J31" s="5">
        <f t="shared" si="2"/>
        <v>229.91962685025831</v>
      </c>
      <c r="K31" s="5">
        <f t="shared" si="3"/>
        <v>1569.3141039119266</v>
      </c>
    </row>
    <row r="32" spans="1:11" x14ac:dyDescent="0.25">
      <c r="A32" s="4">
        <v>30</v>
      </c>
      <c r="B32" s="5">
        <f>B31-Tabela35[[#This Row],[Amortização]]</f>
        <v>6666.6666666666988</v>
      </c>
      <c r="C32" s="5">
        <f t="shared" si="0"/>
        <v>1111.1111111111111</v>
      </c>
      <c r="D32" s="5">
        <f t="shared" si="1"/>
        <v>155.5555555555562</v>
      </c>
      <c r="E32" s="5">
        <f>Tabela35[[#This Row],[Amortização]]+Tabela35[[#This Row],[Juros]]</f>
        <v>1266.6666666666672</v>
      </c>
      <c r="G32" s="4">
        <v>30</v>
      </c>
      <c r="H32" s="5">
        <f>H31-Tabela16[[#This Row],[Amortização]]</f>
        <v>8790.4044988483456</v>
      </c>
      <c r="I32" s="5">
        <f>Tabela16[[#This Row],[Prestação]]-Tabela16[[#This Row],[Juros]]</f>
        <v>1366.1823666029018</v>
      </c>
      <c r="J32" s="5">
        <f t="shared" si="2"/>
        <v>203.13173730902494</v>
      </c>
      <c r="K32" s="5">
        <f t="shared" si="3"/>
        <v>1569.3141039119266</v>
      </c>
    </row>
    <row r="33" spans="1:11" x14ac:dyDescent="0.25">
      <c r="A33" s="4">
        <v>31</v>
      </c>
      <c r="B33" s="5">
        <f>B32-Tabela35[[#This Row],[Amortização]]</f>
        <v>5555.5555555555875</v>
      </c>
      <c r="C33" s="5">
        <f t="shared" si="0"/>
        <v>1111.1111111111111</v>
      </c>
      <c r="D33" s="5">
        <f t="shared" si="1"/>
        <v>133.33333333333397</v>
      </c>
      <c r="E33" s="5">
        <f>Tabela35[[#This Row],[Amortização]]+Tabela35[[#This Row],[Juros]]</f>
        <v>1244.444444444445</v>
      </c>
      <c r="G33" s="4">
        <v>31</v>
      </c>
      <c r="H33" s="5">
        <f>H32-Tabela16[[#This Row],[Amortização]]</f>
        <v>7396.8984849133858</v>
      </c>
      <c r="I33" s="5">
        <f>Tabela16[[#This Row],[Prestação]]-Tabela16[[#This Row],[Juros]]</f>
        <v>1393.5060139349598</v>
      </c>
      <c r="J33" s="5">
        <f t="shared" si="2"/>
        <v>175.80808997696693</v>
      </c>
      <c r="K33" s="5">
        <f t="shared" si="3"/>
        <v>1569.3141039119266</v>
      </c>
    </row>
    <row r="34" spans="1:11" x14ac:dyDescent="0.25">
      <c r="A34" s="4">
        <v>32</v>
      </c>
      <c r="B34" s="5">
        <f>B33-Tabela35[[#This Row],[Amortização]]</f>
        <v>4444.4444444444762</v>
      </c>
      <c r="C34" s="5">
        <f t="shared" si="0"/>
        <v>1111.1111111111111</v>
      </c>
      <c r="D34" s="5">
        <f t="shared" si="1"/>
        <v>111.11111111111175</v>
      </c>
      <c r="E34" s="5">
        <f>Tabela35[[#This Row],[Amortização]]+Tabela35[[#This Row],[Juros]]</f>
        <v>1222.2222222222229</v>
      </c>
      <c r="G34" s="4">
        <v>32</v>
      </c>
      <c r="H34" s="5">
        <f>H33-Tabela16[[#This Row],[Amortização]]</f>
        <v>5975.5223506997272</v>
      </c>
      <c r="I34" s="5">
        <f>Tabela16[[#This Row],[Prestação]]-Tabela16[[#This Row],[Juros]]</f>
        <v>1421.3761342136588</v>
      </c>
      <c r="J34" s="5">
        <f t="shared" si="2"/>
        <v>147.93796969826772</v>
      </c>
      <c r="K34" s="5">
        <f t="shared" si="3"/>
        <v>1569.3141039119266</v>
      </c>
    </row>
    <row r="35" spans="1:11" x14ac:dyDescent="0.25">
      <c r="A35" s="4">
        <v>33</v>
      </c>
      <c r="B35" s="5">
        <f>B34-Tabela35[[#This Row],[Amortização]]</f>
        <v>3333.3333333333649</v>
      </c>
      <c r="C35" s="5">
        <f t="shared" si="0"/>
        <v>1111.1111111111111</v>
      </c>
      <c r="D35" s="5">
        <f t="shared" si="1"/>
        <v>88.888888888889525</v>
      </c>
      <c r="E35" s="5">
        <f>Tabela35[[#This Row],[Amortização]]+Tabela35[[#This Row],[Juros]]</f>
        <v>1200.0000000000007</v>
      </c>
      <c r="G35" s="4">
        <v>33</v>
      </c>
      <c r="H35" s="5">
        <f>H34-Tabela16[[#This Row],[Amortização]]</f>
        <v>4525.7186938017949</v>
      </c>
      <c r="I35" s="5">
        <f>Tabela16[[#This Row],[Prestação]]-Tabela16[[#This Row],[Juros]]</f>
        <v>1449.8036568979321</v>
      </c>
      <c r="J35" s="5">
        <f t="shared" si="2"/>
        <v>119.51044701399455</v>
      </c>
      <c r="K35" s="5">
        <f t="shared" si="3"/>
        <v>1569.3141039119266</v>
      </c>
    </row>
    <row r="36" spans="1:11" x14ac:dyDescent="0.25">
      <c r="A36" s="4">
        <v>34</v>
      </c>
      <c r="B36" s="5">
        <f>B35-Tabela35[[#This Row],[Amortização]]</f>
        <v>2222.2222222222535</v>
      </c>
      <c r="C36" s="5">
        <f t="shared" si="0"/>
        <v>1111.1111111111111</v>
      </c>
      <c r="D36" s="5">
        <f t="shared" si="1"/>
        <v>66.666666666667297</v>
      </c>
      <c r="E36" s="5">
        <f>Tabela35[[#This Row],[Amortização]]+Tabela35[[#This Row],[Juros]]</f>
        <v>1177.7777777777783</v>
      </c>
      <c r="G36" s="4">
        <v>34</v>
      </c>
      <c r="H36" s="5">
        <f>H35-Tabela16[[#This Row],[Amortização]]</f>
        <v>3046.9189637659042</v>
      </c>
      <c r="I36" s="5">
        <f>Tabela16[[#This Row],[Prestação]]-Tabela16[[#This Row],[Juros]]</f>
        <v>1478.7997300358907</v>
      </c>
      <c r="J36" s="5">
        <f t="shared" si="2"/>
        <v>90.514373876035904</v>
      </c>
      <c r="K36" s="5">
        <f t="shared" si="3"/>
        <v>1569.3141039119266</v>
      </c>
    </row>
    <row r="37" spans="1:11" x14ac:dyDescent="0.25">
      <c r="A37" s="4">
        <v>35</v>
      </c>
      <c r="B37" s="5">
        <f>B36-Tabela35[[#This Row],[Amortização]]</f>
        <v>1111.1111111111425</v>
      </c>
      <c r="C37" s="5">
        <f t="shared" si="0"/>
        <v>1111.1111111111111</v>
      </c>
      <c r="D37" s="5">
        <f t="shared" si="1"/>
        <v>44.444444444445075</v>
      </c>
      <c r="E37" s="5">
        <f>Tabela35[[#This Row],[Amortização]]+Tabela35[[#This Row],[Juros]]</f>
        <v>1155.5555555555561</v>
      </c>
      <c r="G37" s="4">
        <v>35</v>
      </c>
      <c r="H37" s="5">
        <f>H36-Tabela16[[#This Row],[Amortização]]</f>
        <v>1538.5432391292957</v>
      </c>
      <c r="I37" s="5">
        <f>Tabela16[[#This Row],[Prestação]]-Tabela16[[#This Row],[Juros]]</f>
        <v>1508.3757246366085</v>
      </c>
      <c r="J37" s="5">
        <f t="shared" si="2"/>
        <v>60.938379275318084</v>
      </c>
      <c r="K37" s="5">
        <f t="shared" si="3"/>
        <v>1569.3141039119266</v>
      </c>
    </row>
    <row r="38" spans="1:11" x14ac:dyDescent="0.25">
      <c r="A38" s="4">
        <v>36</v>
      </c>
      <c r="B38" s="5">
        <f>B37-Tabela35[[#This Row],[Amortização]]</f>
        <v>3.1377567211166024E-11</v>
      </c>
      <c r="C38" s="5">
        <f t="shared" si="0"/>
        <v>1111.1111111111111</v>
      </c>
      <c r="D38" s="5">
        <f t="shared" si="1"/>
        <v>22.22222222222285</v>
      </c>
      <c r="E38" s="5">
        <f>Tabela35[[#This Row],[Amortização]]+Tabela35[[#This Row],[Juros]]</f>
        <v>1133.3333333333339</v>
      </c>
      <c r="G38" s="4">
        <v>36</v>
      </c>
      <c r="H38" s="5">
        <f>H37-Tabela16[[#This Row],[Amortização]]</f>
        <v>-4.5019987737759948E-11</v>
      </c>
      <c r="I38" s="5">
        <f>Tabela16[[#This Row],[Prestação]]-Tabela16[[#This Row],[Juros]]</f>
        <v>1538.5432391293407</v>
      </c>
      <c r="J38" s="5">
        <f t="shared" si="2"/>
        <v>30.770864782585914</v>
      </c>
      <c r="K38" s="5">
        <f t="shared" si="3"/>
        <v>1569.3141039119266</v>
      </c>
    </row>
    <row r="39" spans="1:11" x14ac:dyDescent="0.25">
      <c r="A39" s="4"/>
      <c r="B39" s="5"/>
      <c r="C39" s="5">
        <f>SUBTOTAL(109,Tabela35[Amortização])</f>
        <v>39999.999999999971</v>
      </c>
      <c r="D39" s="5">
        <f>SUBTOTAL(109,Tabela35[Juros])</f>
        <v>14800.000000000015</v>
      </c>
      <c r="E39" s="5">
        <f>SUBTOTAL(109,Tabela35[Prestação])</f>
        <v>54800.000000000015</v>
      </c>
      <c r="G39" s="4"/>
      <c r="H39" s="5"/>
      <c r="I39" s="5">
        <f>SUBTOTAL(109,Tabela16[Amortização])</f>
        <v>40000.000000000029</v>
      </c>
      <c r="J39" s="5">
        <f>SUBTOTAL(109,Tabela16[Juros])</f>
        <v>16495.307740829321</v>
      </c>
      <c r="K39" s="5">
        <f>SUBTOTAL(109,Tabela16[Prestação])</f>
        <v>56495.30774082939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DD4F-443E-43BC-A847-B891A40F2F55}">
  <dimension ref="A1:E9"/>
  <sheetViews>
    <sheetView tabSelected="1" workbookViewId="0">
      <selection activeCell="D12" sqref="D12"/>
    </sheetView>
  </sheetViews>
  <sheetFormatPr defaultRowHeight="15" x14ac:dyDescent="0.25"/>
  <cols>
    <col min="1" max="1" width="12.5703125" bestFit="1" customWidth="1"/>
    <col min="2" max="2" width="18.85546875" bestFit="1" customWidth="1"/>
    <col min="3" max="3" width="16.5703125" bestFit="1" customWidth="1"/>
    <col min="4" max="4" width="10.85546875" bestFit="1" customWidth="1"/>
    <col min="5" max="5" width="14.425781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4">
        <v>0</v>
      </c>
      <c r="B2" s="5">
        <v>2000</v>
      </c>
      <c r="C2" s="5">
        <v>0</v>
      </c>
      <c r="D2" s="5">
        <v>0</v>
      </c>
      <c r="E2" s="5">
        <v>0</v>
      </c>
    </row>
    <row r="3" spans="1:5" x14ac:dyDescent="0.25">
      <c r="A3" s="4">
        <v>1</v>
      </c>
      <c r="B3" s="5">
        <f>B2-Tabela17[[#This Row],[Amortização]]</f>
        <v>1705.99</v>
      </c>
      <c r="C3" s="5">
        <f>Tabela17[[#This Row],[Prestação]]-Tabela17[[#This Row],[Juros]]</f>
        <v>294.01</v>
      </c>
      <c r="D3" s="5">
        <f>B2*0.05</f>
        <v>100</v>
      </c>
      <c r="E3" s="5">
        <v>394.01</v>
      </c>
    </row>
    <row r="4" spans="1:5" x14ac:dyDescent="0.25">
      <c r="A4" s="4">
        <v>2</v>
      </c>
      <c r="B4" s="5">
        <f>B3-Tabela17[[#This Row],[Amortização]]</f>
        <v>1397.2795000000001</v>
      </c>
      <c r="C4" s="5">
        <f>Tabela17[[#This Row],[Prestação]]-Tabela17[[#This Row],[Juros]]</f>
        <v>308.71049999999997</v>
      </c>
      <c r="D4" s="5">
        <f t="shared" ref="D4:D8" si="0">B3*0.05</f>
        <v>85.299500000000009</v>
      </c>
      <c r="E4" s="5">
        <v>394.01</v>
      </c>
    </row>
    <row r="5" spans="1:5" x14ac:dyDescent="0.25">
      <c r="A5" s="4">
        <v>3</v>
      </c>
      <c r="B5" s="5">
        <f>B4-Tabela17[[#This Row],[Amortização]]</f>
        <v>1073.1334750000001</v>
      </c>
      <c r="C5" s="5">
        <f>Tabela17[[#This Row],[Prestação]]-Tabela17[[#This Row],[Juros]]</f>
        <v>324.14602500000001</v>
      </c>
      <c r="D5" s="5">
        <f t="shared" si="0"/>
        <v>69.863975000000011</v>
      </c>
      <c r="E5" s="5">
        <v>394.01</v>
      </c>
    </row>
    <row r="6" spans="1:5" x14ac:dyDescent="0.25">
      <c r="A6" s="4">
        <v>4</v>
      </c>
      <c r="B6" s="5">
        <f>B5-Tabela17[[#This Row],[Amortização]]</f>
        <v>732.78014875000008</v>
      </c>
      <c r="C6" s="5">
        <f>Tabela17[[#This Row],[Prestação]]-Tabela17[[#This Row],[Juros]]</f>
        <v>340.35332625000001</v>
      </c>
      <c r="D6" s="5">
        <f t="shared" si="0"/>
        <v>53.65667375000001</v>
      </c>
      <c r="E6" s="5">
        <v>394.01</v>
      </c>
    </row>
    <row r="7" spans="1:5" x14ac:dyDescent="0.25">
      <c r="A7" s="4">
        <v>5</v>
      </c>
      <c r="B7" s="5">
        <f>B6-Tabela17[[#This Row],[Amortização]]</f>
        <v>375.40915618750012</v>
      </c>
      <c r="C7" s="5">
        <f>Tabela17[[#This Row],[Prestação]]-Tabela17[[#This Row],[Juros]]</f>
        <v>357.37099256249996</v>
      </c>
      <c r="D7" s="5">
        <f t="shared" si="0"/>
        <v>36.639007437500005</v>
      </c>
      <c r="E7" s="5">
        <v>394.01</v>
      </c>
    </row>
    <row r="8" spans="1:5" x14ac:dyDescent="0.25">
      <c r="A8" s="4">
        <v>6</v>
      </c>
      <c r="B8" s="5">
        <f>B7-Tabela17[[#This Row],[Amortização]]</f>
        <v>0.16961399687511403</v>
      </c>
      <c r="C8" s="5">
        <f>Tabela17[[#This Row],[Prestação]]-Tabela17[[#This Row],[Juros]]</f>
        <v>375.239542190625</v>
      </c>
      <c r="D8" s="5">
        <f t="shared" si="0"/>
        <v>18.770457809375007</v>
      </c>
      <c r="E8" s="5">
        <v>394.01</v>
      </c>
    </row>
    <row r="9" spans="1:5" x14ac:dyDescent="0.25">
      <c r="A9" s="4"/>
      <c r="B9" s="5"/>
      <c r="C9" s="5">
        <f>SUBTOTAL(109,Tabela17[Amortização])</f>
        <v>1999.8303860031247</v>
      </c>
      <c r="D9" s="5">
        <f>SUBTOTAL(109,Tabela17[Juros])</f>
        <v>364.22961399687506</v>
      </c>
      <c r="E9" s="5">
        <f>SUBTOTAL(109,Tabela17[Prestação])</f>
        <v>2364.06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F8ADD1F0B95B41856A151874605F2B" ma:contentTypeVersion="4" ma:contentTypeDescription="Crie um novo documento." ma:contentTypeScope="" ma:versionID="9d8bfac26e069c2b20edea153c514b76">
  <xsd:schema xmlns:xsd="http://www.w3.org/2001/XMLSchema" xmlns:xs="http://www.w3.org/2001/XMLSchema" xmlns:p="http://schemas.microsoft.com/office/2006/metadata/properties" xmlns:ns2="31566000-ad14-4ed5-9996-887f3f657c26" targetNamespace="http://schemas.microsoft.com/office/2006/metadata/properties" ma:root="true" ma:fieldsID="497b7a0f222d55fb3e2a129e19459152" ns2:_="">
    <xsd:import namespace="31566000-ad14-4ed5-9996-887f3f657c2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66000-ad14-4ed5-9996-887f3f657c2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1566000-ad14-4ed5-9996-887f3f657c26" xsi:nil="true"/>
  </documentManagement>
</p:properties>
</file>

<file path=customXml/itemProps1.xml><?xml version="1.0" encoding="utf-8"?>
<ds:datastoreItem xmlns:ds="http://schemas.openxmlformats.org/officeDocument/2006/customXml" ds:itemID="{F512C4EA-93F2-4761-977F-C38A5317F4F4}"/>
</file>

<file path=customXml/itemProps2.xml><?xml version="1.0" encoding="utf-8"?>
<ds:datastoreItem xmlns:ds="http://schemas.openxmlformats.org/officeDocument/2006/customXml" ds:itemID="{C0FCC233-4347-4DDC-89A5-77452D9BF6F5}"/>
</file>

<file path=customXml/itemProps3.xml><?xml version="1.0" encoding="utf-8"?>
<ds:datastoreItem xmlns:ds="http://schemas.openxmlformats.org/officeDocument/2006/customXml" ds:itemID="{B26DA8CC-EDD6-479D-94E3-EE8BBA97B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Exercício_1</vt:lpstr>
      <vt:lpstr>Exercício_2</vt:lpstr>
      <vt:lpstr>Exercício_3</vt:lpstr>
      <vt:lpstr>Exercício_4</vt:lpstr>
      <vt:lpstr>Exercício_5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Kauan Buzone</cp:lastModifiedBy>
  <cp:revision/>
  <dcterms:created xsi:type="dcterms:W3CDTF">2025-09-10T19:04:08Z</dcterms:created>
  <dcterms:modified xsi:type="dcterms:W3CDTF">2025-09-10T23:22:27Z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0x01010092F8ADD1F0B95B41856A151874605F2B</vt:lpwstr>
  </property>
</Properties>
</file>