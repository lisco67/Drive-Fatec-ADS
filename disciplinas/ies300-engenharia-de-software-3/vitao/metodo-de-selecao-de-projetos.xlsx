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 Value" sheetId="1" r:id="rId5"/>
    <sheet state="visible" name="Net Present Value" sheetId="2" r:id="rId6"/>
    <sheet state="visible" name="Payback" sheetId="3" r:id="rId7"/>
  </sheets>
  <definedNames/>
  <calcPr/>
</workbook>
</file>

<file path=xl/sharedStrings.xml><?xml version="1.0" encoding="utf-8"?>
<sst xmlns="http://schemas.openxmlformats.org/spreadsheetml/2006/main" count="35" uniqueCount="15">
  <si>
    <t>MOON</t>
  </si>
  <si>
    <t>DARK</t>
  </si>
  <si>
    <t>ASTRO</t>
  </si>
  <si>
    <t>FV - Valor Futuro</t>
  </si>
  <si>
    <t>r - taxa de juros</t>
  </si>
  <si>
    <t>n - períodos</t>
  </si>
  <si>
    <t>periodo 1</t>
  </si>
  <si>
    <t>periodo 2</t>
  </si>
  <si>
    <t>periodo 3</t>
  </si>
  <si>
    <t>PV - Present Value</t>
  </si>
  <si>
    <t>Selecionar o maior PV</t>
  </si>
  <si>
    <t>CP - Custo do Projeto</t>
  </si>
  <si>
    <t>NPV - Net Present Value</t>
  </si>
  <si>
    <t>quando ficar positivo, é o período de payback</t>
  </si>
  <si>
    <t>No período de 3 meses, o projeto escolhido seria o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</si>
</sst>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horizontal="right" readingOrder="0"/>
    </xf>
    <xf borderId="0" fillId="2" fontId="2" numFmtId="164" xfId="0" applyFill="1" applyFont="1" applyNumberFormat="1"/>
    <xf borderId="0" fillId="0" fontId="2" numFmtId="164" xfId="0" applyFont="1" applyNumberFormat="1"/>
    <xf borderId="0" fillId="2" fontId="1" numFmtId="164" xfId="0" applyFont="1" applyNumberFormat="1"/>
    <xf borderId="0" fillId="2" fontId="1" numFmtId="164" xfId="0" applyAlignment="1" applyFont="1" applyNumberFormat="1">
      <alignment readingOrder="0"/>
    </xf>
    <xf borderId="0" fillId="3" fontId="1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B1" s="1" t="s">
        <v>0</v>
      </c>
      <c r="C1" s="1" t="s">
        <v>1</v>
      </c>
      <c r="D1" s="1" t="s">
        <v>2</v>
      </c>
    </row>
    <row r="3">
      <c r="A3" s="2" t="s">
        <v>3</v>
      </c>
      <c r="B3" s="1"/>
      <c r="C3" s="1"/>
    </row>
    <row r="4">
      <c r="A4" s="2" t="s">
        <v>4</v>
      </c>
      <c r="B4" s="1">
        <v>0.02</v>
      </c>
      <c r="C4" s="1">
        <v>0.02</v>
      </c>
      <c r="D4" s="1">
        <v>0.02</v>
      </c>
    </row>
    <row r="5">
      <c r="A5" s="2" t="s">
        <v>5</v>
      </c>
      <c r="B5" s="1">
        <v>3.0</v>
      </c>
      <c r="C5" s="1">
        <v>3.0</v>
      </c>
      <c r="D5" s="1">
        <v>3.0</v>
      </c>
    </row>
    <row r="9">
      <c r="A9" s="1" t="s">
        <v>6</v>
      </c>
      <c r="B9" s="3">
        <f>90000/(1+B4)^1</f>
        <v>88235.29412</v>
      </c>
      <c r="C9" s="3">
        <f>20000/(1+C4)^1</f>
        <v>19607.84314</v>
      </c>
      <c r="D9" s="3">
        <f>15000/(1+D4)^1</f>
        <v>14705.88235</v>
      </c>
      <c r="E9" s="3"/>
    </row>
    <row r="10">
      <c r="A10" s="1" t="s">
        <v>7</v>
      </c>
      <c r="B10" s="4">
        <f>90000/(1+B4)^2</f>
        <v>86505.19031</v>
      </c>
      <c r="C10" s="4">
        <f>20000/(1+C4)^2</f>
        <v>19223.37562</v>
      </c>
      <c r="D10" s="4">
        <f>15000/(1+D4)^2</f>
        <v>14417.53172</v>
      </c>
      <c r="E10" s="4"/>
    </row>
    <row r="11">
      <c r="A11" s="1" t="s">
        <v>8</v>
      </c>
      <c r="B11" s="4">
        <f>90000/(1+B4)^3</f>
        <v>84809.01011</v>
      </c>
      <c r="C11" s="4">
        <f>20000/(1+C4)^3</f>
        <v>18846.44669</v>
      </c>
      <c r="D11" s="4">
        <f>15000/(1+D4)^3</f>
        <v>14134.83502</v>
      </c>
      <c r="E11" s="4"/>
    </row>
    <row r="12">
      <c r="A12" s="5" t="s">
        <v>9</v>
      </c>
      <c r="B12" s="6">
        <f t="shared" ref="B12:D12" si="1">SUM(B9:B11)</f>
        <v>259549.4945</v>
      </c>
      <c r="C12" s="7">
        <f t="shared" si="1"/>
        <v>57677.66545</v>
      </c>
      <c r="D12" s="7">
        <f t="shared" si="1"/>
        <v>43258.24909</v>
      </c>
      <c r="E12" s="7"/>
      <c r="F12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B1" s="1" t="s">
        <v>0</v>
      </c>
      <c r="C1" s="1" t="s">
        <v>1</v>
      </c>
      <c r="D1" s="1" t="s">
        <v>2</v>
      </c>
    </row>
    <row r="2">
      <c r="A2" s="1" t="s">
        <v>11</v>
      </c>
      <c r="B2" s="1">
        <v>200000.0</v>
      </c>
      <c r="C2" s="1">
        <v>100000.0</v>
      </c>
      <c r="D2" s="1">
        <v>50000.0</v>
      </c>
    </row>
    <row r="3">
      <c r="A3" s="2" t="s">
        <v>3</v>
      </c>
    </row>
    <row r="4">
      <c r="A4" s="2" t="s">
        <v>4</v>
      </c>
      <c r="B4" s="1">
        <v>0.02</v>
      </c>
      <c r="C4" s="1">
        <v>0.02</v>
      </c>
      <c r="D4" s="1">
        <v>0.02</v>
      </c>
    </row>
    <row r="5">
      <c r="A5" s="2" t="s">
        <v>5</v>
      </c>
      <c r="B5" s="1">
        <v>3.0</v>
      </c>
      <c r="C5" s="1">
        <v>3.0</v>
      </c>
      <c r="D5" s="1">
        <v>3.0</v>
      </c>
    </row>
    <row r="9">
      <c r="A9" s="1" t="s">
        <v>6</v>
      </c>
      <c r="B9" s="3">
        <f>90000/(1+B4)^1</f>
        <v>88235.29412</v>
      </c>
      <c r="C9" s="3">
        <f>20000/(1+C4)^1</f>
        <v>19607.84314</v>
      </c>
      <c r="D9" s="3">
        <f>15000/(1+D4)^1</f>
        <v>14705.88235</v>
      </c>
      <c r="E9" s="3"/>
      <c r="F9" s="3"/>
    </row>
    <row r="10">
      <c r="A10" s="1" t="s">
        <v>7</v>
      </c>
      <c r="B10" s="4">
        <f>90000/(1+B4)^2</f>
        <v>86505.19031</v>
      </c>
      <c r="C10" s="4">
        <f>20000/(1+C4)^2</f>
        <v>19223.37562</v>
      </c>
      <c r="D10" s="4">
        <f>15000/(1+D4)^2</f>
        <v>14417.53172</v>
      </c>
      <c r="E10" s="4"/>
      <c r="F10" s="4"/>
    </row>
    <row r="11">
      <c r="A11" s="1" t="s">
        <v>8</v>
      </c>
      <c r="B11" s="4">
        <f>90000/(1+B4)^3</f>
        <v>84809.01011</v>
      </c>
      <c r="C11" s="4">
        <f>20000/(1+C4)^3</f>
        <v>18846.44669</v>
      </c>
      <c r="D11" s="4">
        <f>15000/(1+D4)^3</f>
        <v>14134.83502</v>
      </c>
      <c r="E11" s="4"/>
      <c r="F11" s="4"/>
    </row>
    <row r="12">
      <c r="A12" s="5" t="s">
        <v>9</v>
      </c>
      <c r="B12" s="7">
        <f t="shared" ref="B12:D12" si="1">SUM(B9:B11)</f>
        <v>259549.4945</v>
      </c>
      <c r="C12" s="7">
        <f t="shared" si="1"/>
        <v>57677.66545</v>
      </c>
      <c r="D12" s="7">
        <f t="shared" si="1"/>
        <v>43258.24909</v>
      </c>
      <c r="E12" s="7"/>
    </row>
    <row r="13">
      <c r="A13" s="1" t="s">
        <v>12</v>
      </c>
      <c r="B13" s="4">
        <f t="shared" ref="B13:D13" si="2">B12-B2</f>
        <v>59549.49454</v>
      </c>
      <c r="C13" s="4">
        <f t="shared" si="2"/>
        <v>-42322.33455</v>
      </c>
      <c r="D13" s="4">
        <f t="shared" si="2"/>
        <v>-6741.75091</v>
      </c>
      <c r="E13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B1" s="1" t="s">
        <v>0</v>
      </c>
      <c r="C1" s="1"/>
      <c r="D1" s="1" t="s">
        <v>1</v>
      </c>
      <c r="E1" s="1"/>
      <c r="F1" s="1" t="s">
        <v>2</v>
      </c>
      <c r="G1" s="1"/>
    </row>
    <row r="2">
      <c r="A2" s="1" t="s">
        <v>11</v>
      </c>
      <c r="B2" s="1">
        <v>200000.0</v>
      </c>
      <c r="C2" s="1"/>
      <c r="D2" s="1">
        <v>100000.0</v>
      </c>
      <c r="E2" s="1"/>
      <c r="F2" s="1">
        <v>50000.0</v>
      </c>
      <c r="G2" s="1"/>
    </row>
    <row r="3">
      <c r="A3" s="2" t="s">
        <v>3</v>
      </c>
    </row>
    <row r="4">
      <c r="A4" s="2" t="s">
        <v>4</v>
      </c>
      <c r="B4" s="1">
        <v>0.02</v>
      </c>
      <c r="C4" s="1"/>
      <c r="D4" s="1">
        <v>0.02</v>
      </c>
      <c r="E4" s="1"/>
      <c r="F4" s="1">
        <v>0.02</v>
      </c>
      <c r="G4" s="1"/>
    </row>
    <row r="5">
      <c r="A5" s="2" t="s">
        <v>5</v>
      </c>
      <c r="B5" s="1">
        <v>3.0</v>
      </c>
      <c r="C5" s="1"/>
      <c r="D5" s="1">
        <v>3.0</v>
      </c>
      <c r="E5" s="1"/>
      <c r="F5" s="1">
        <v>3.0</v>
      </c>
      <c r="G5" s="1"/>
    </row>
    <row r="9">
      <c r="A9" s="1" t="s">
        <v>6</v>
      </c>
      <c r="B9" s="3">
        <v>90000.0</v>
      </c>
      <c r="C9" s="3">
        <f>B9-B2</f>
        <v>-110000</v>
      </c>
      <c r="D9" s="3">
        <v>20000.0</v>
      </c>
      <c r="E9" s="3">
        <f>D9-D2</f>
        <v>-80000</v>
      </c>
      <c r="F9" s="3">
        <v>15000.0</v>
      </c>
      <c r="G9" s="3">
        <f>F9-F2</f>
        <v>-35000</v>
      </c>
      <c r="H9" s="3"/>
      <c r="I9" s="1" t="s">
        <v>13</v>
      </c>
    </row>
    <row r="10">
      <c r="A10" s="1" t="s">
        <v>7</v>
      </c>
      <c r="B10" s="3">
        <v>90000.0</v>
      </c>
      <c r="C10" s="3">
        <f>B9+B10-B2</f>
        <v>-20000</v>
      </c>
      <c r="D10" s="3">
        <v>20000.0</v>
      </c>
      <c r="E10" s="3">
        <f>D9+D10-D2</f>
        <v>-60000</v>
      </c>
      <c r="F10" s="3">
        <v>15000.0</v>
      </c>
      <c r="G10" s="3">
        <f>F9+F10-F2</f>
        <v>-20000</v>
      </c>
      <c r="H10" s="3"/>
      <c r="I10" s="1" t="s">
        <v>14</v>
      </c>
    </row>
    <row r="11">
      <c r="A11" s="1" t="s">
        <v>8</v>
      </c>
      <c r="B11" s="3">
        <v>90000.0</v>
      </c>
      <c r="C11" s="9">
        <f>B11+B10+B9-B2</f>
        <v>70000</v>
      </c>
      <c r="D11" s="3">
        <v>20000.0</v>
      </c>
      <c r="E11" s="3">
        <f>D11+D10+D9-D2</f>
        <v>-40000</v>
      </c>
      <c r="F11" s="3">
        <v>15000.0</v>
      </c>
      <c r="G11" s="3">
        <f>F11+F10+F9-F2</f>
        <v>-5000</v>
      </c>
      <c r="H11" s="3"/>
      <c r="I11" s="10"/>
    </row>
    <row r="12">
      <c r="A12" s="2"/>
      <c r="B12" s="4"/>
      <c r="C12" s="4"/>
      <c r="D12" s="4"/>
      <c r="E12" s="4"/>
      <c r="F12" s="4"/>
      <c r="G12" s="4"/>
      <c r="H12" s="4"/>
    </row>
    <row r="13">
      <c r="B13" s="4"/>
      <c r="C13" s="4"/>
      <c r="D13" s="4"/>
      <c r="E13" s="4"/>
      <c r="F13" s="4"/>
      <c r="G13" s="4"/>
      <c r="H13" s="4"/>
    </row>
    <row r="14">
      <c r="B14" s="4"/>
      <c r="C14" s="4"/>
      <c r="D14" s="4"/>
      <c r="E14" s="4"/>
      <c r="F14" s="4"/>
      <c r="G14" s="4"/>
      <c r="H14" s="4"/>
    </row>
  </sheetData>
  <drawing r:id="rId1"/>
</worksheet>
</file>